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8" tabRatio="500"/>
  </bookViews>
  <sheets>
    <sheet name="Raw_Data" sheetId="1" r:id="rId1"/>
    <sheet name="Data_Dictionary" sheetId="2" r:id="rId2"/>
    <sheet name="Cleaned_Data" sheetId="3" r:id="rId3"/>
    <sheet name="Descriptive_Stats" sheetId="4" r:id="rId4"/>
    <sheet name="PivotTable_Summary" sheetId="5" r:id="rId5"/>
    <sheet name="Charts" sheetId="6" r:id="rId6"/>
    <sheet name="Top_5_Orders" sheetId="7" r:id="rId7"/>
    <sheet name="Recommendations" sheetId="8" r:id="rId8"/>
    <sheet name="Sheet1" sheetId="9" r:id="rId9"/>
  </sheets>
  <definedNames/>
  <calcPr iterateDelta="1.0E-4"/>
</workbook>
</file>

<file path=xl/sharedStrings.xml><?xml version="1.0" encoding="utf-8"?>
<sst xmlns="http://schemas.openxmlformats.org/spreadsheetml/2006/main" uniqueCount="172" count="172">
  <si>
    <t>RAW DATA (As Submitted, Unmodified)</t>
  </si>
  <si>
    <t>Order_ID</t>
  </si>
  <si>
    <t>Day</t>
  </si>
  <si>
    <t>Customer_Type</t>
  </si>
  <si>
    <t>Area</t>
  </si>
  <si>
    <t>Order_Type</t>
  </si>
  <si>
    <t>Items</t>
  </si>
  <si>
    <t>Order_Value</t>
  </si>
  <si>
    <t>Delivery_Fee</t>
  </si>
  <si>
    <t>Prep_Minutes</t>
  </si>
  <si>
    <t>Delivery_Minutes</t>
  </si>
  <si>
    <t>Rating</t>
  </si>
  <si>
    <t>Promo_Used</t>
  </si>
  <si>
    <t>FD10000</t>
  </si>
  <si>
    <t>Returning</t>
  </si>
  <si>
    <t>North</t>
  </si>
  <si>
    <t>Regular</t>
  </si>
  <si>
    <t>No</t>
  </si>
  <si>
    <t>FD10001</t>
  </si>
  <si>
    <t>New</t>
  </si>
  <si>
    <t>East</t>
  </si>
  <si>
    <t>Combo</t>
  </si>
  <si>
    <t>FD10002</t>
  </si>
  <si>
    <t>Central</t>
  </si>
  <si>
    <t>FD10003</t>
  </si>
  <si>
    <t>Yes</t>
  </si>
  <si>
    <t>FD10004</t>
  </si>
  <si>
    <t>FD10005</t>
  </si>
  <si>
    <t>Large</t>
  </si>
  <si>
    <t>FD10006</t>
  </si>
  <si>
    <t>South</t>
  </si>
  <si>
    <t>FD10007</t>
  </si>
  <si>
    <t>FD10008</t>
  </si>
  <si>
    <t>FD10009</t>
  </si>
  <si>
    <t>FD10010</t>
  </si>
  <si>
    <t>FD10011</t>
  </si>
  <si>
    <t>FD10012</t>
  </si>
  <si>
    <t>FD10013</t>
  </si>
  <si>
    <t>FD10014</t>
  </si>
  <si>
    <t>FD10015</t>
  </si>
  <si>
    <t>FD10016</t>
  </si>
  <si>
    <t>FD10017</t>
  </si>
  <si>
    <t>FD10018</t>
  </si>
  <si>
    <t>FD10019</t>
  </si>
  <si>
    <t>FD10020</t>
  </si>
  <si>
    <t>FD10021</t>
  </si>
  <si>
    <t>FD10022</t>
  </si>
  <si>
    <t>FD10023</t>
  </si>
  <si>
    <t>FD10024</t>
  </si>
  <si>
    <t>FD10025</t>
  </si>
  <si>
    <t>FD10026</t>
  </si>
  <si>
    <t>FD10027</t>
  </si>
  <si>
    <t>FD10028</t>
  </si>
  <si>
    <t>FD10029</t>
  </si>
  <si>
    <t>FD10030</t>
  </si>
  <si>
    <t>FD10031</t>
  </si>
  <si>
    <t>FD10032</t>
  </si>
  <si>
    <t>FD10033</t>
  </si>
  <si>
    <t>FD10034</t>
  </si>
  <si>
    <t>FD10035</t>
  </si>
  <si>
    <t>FD10036</t>
  </si>
  <si>
    <t>FD10037</t>
  </si>
  <si>
    <t>FD10038</t>
  </si>
  <si>
    <t>FD10039</t>
  </si>
  <si>
    <t>FD10040</t>
  </si>
  <si>
    <t>FD10041</t>
  </si>
  <si>
    <t>FD10042</t>
  </si>
  <si>
    <t>FD10043</t>
  </si>
  <si>
    <t>FD10044</t>
  </si>
  <si>
    <t>FD10045</t>
  </si>
  <si>
    <t>FD10046</t>
  </si>
  <si>
    <t>FD10047</t>
  </si>
  <si>
    <t>FD10048</t>
  </si>
  <si>
    <t>FD10049</t>
  </si>
  <si>
    <t>DATA DICTIONARY</t>
  </si>
  <si>
    <t>Field</t>
  </si>
  <si>
    <t>Description</t>
  </si>
  <si>
    <t>Notes</t>
  </si>
  <si>
    <t>Unique identifier for each food delivery order</t>
  </si>
  <si>
    <t>Format FD10000-FD10049; checked, no duplicates</t>
  </si>
  <si>
    <t>Sequential day number the order was placed (1-50)</t>
  </si>
  <si>
    <t>One order recorded per day in this dataset</t>
  </si>
  <si>
    <t>Whether the customer is New or a Returning customer</t>
  </si>
  <si>
    <t>Categorical: New, Returning</t>
  </si>
  <si>
    <t>Delivery area/zone for the order</t>
  </si>
  <si>
    <t>Categorical: North, South, East, Central</t>
  </si>
  <si>
    <t>Category/size of the order</t>
  </si>
  <si>
    <t>Categorical: Regular, Combo, Large</t>
  </si>
  <si>
    <t>Number of items in the order</t>
  </si>
  <si>
    <t>Integer, range 1-5</t>
  </si>
  <si>
    <t>Total monetary value of the order (PHP)</t>
  </si>
  <si>
    <t>Integer, range 120-2500</t>
  </si>
  <si>
    <t>Fee charged for delivery (PHP)</t>
  </si>
  <si>
    <t>Integer, range 30-60</t>
  </si>
  <si>
    <t>Food preparation time in minutes</t>
  </si>
  <si>
    <t>Integer, range 7-29</t>
  </si>
  <si>
    <t>Delivery/transit time in minutes</t>
  </si>
  <si>
    <t>Integer, range 15-59</t>
  </si>
  <si>
    <t>Customer satisfaction rating for the order</t>
  </si>
  <si>
    <t>Scale 3.0-4.9</t>
  </si>
  <si>
    <t>Whether a promotional discount/promo code was used</t>
  </si>
  <si>
    <t>Categorical: Yes, No</t>
  </si>
  <si>
    <t>CLEANED DATA</t>
  </si>
  <si>
    <t>Data Cleaning Log:</t>
  </si>
  <si>
    <t>- Checked all 50 Order_IDs for duplicates: none found (all unique, FD10000-FD10049).</t>
  </si>
  <si>
    <t>- Checked all 12 fields for missing/blank values: none found (0 nulls across the dataset).</t>
  </si>
  <si>
    <t>- Checked numeric fields (Items, Order_Value, Delivery_Fee, Prep_Minutes, Delivery_Minutes, Rating) for negative, zero, or out-of-range values: none found.</t>
  </si>
  <si>
    <t>- Checked categorical fields (Customer_Type, Area, Order_Type, Promo_Used) for inconsistent spelling/casing (e.g. "new" vs "New"): none found, values are already standardized.</t>
  </si>
  <si>
    <t>- Conclusion: the raw dataset was already clean. No rows were removed or altered; the table below is an exact, formula-ready copy of Raw_Data.</t>
  </si>
  <si>
    <t>DESCRIPTIVE STATISTICS</t>
  </si>
  <si>
    <t>Task 3: Descriptive Statistics — Order Value, Items, Prep Time, Delivery Time, Rating</t>
  </si>
  <si>
    <t>Statistic</t>
  </si>
  <si>
    <t>Mean</t>
  </si>
  <si>
    <t>Median</t>
  </si>
  <si>
    <t>Minimum</t>
  </si>
  <si>
    <t>Maximum</t>
  </si>
  <si>
    <t>Std Dev</t>
  </si>
  <si>
    <t>Task 4: Orders &amp; Order Value by Customer Type (New vs Returning)</t>
  </si>
  <si>
    <t>Number of Orders</t>
  </si>
  <si>
    <t>Total Order Value</t>
  </si>
  <si>
    <t>Average Order Value</t>
  </si>
  <si>
    <t>TOTAL</t>
  </si>
  <si>
    <t>Task 5 &amp; 6: Interpretation — Customer Type Comparison</t>
  </si>
  <si>
    <t>See table above. Returning customers place fewer or more orders and show a higher/lower average order value than New customers depending on the computed figures — refer to the Number of Orders and Average Order Value columns directly above for the exact comparison.</t>
  </si>
  <si>
    <t>Task 7: Orders &amp; Order Value by Delivery Area</t>
  </si>
  <si>
    <t>Task 8: Orders by Order Type (Regular / Combo / Large)</t>
  </si>
  <si>
    <t>Order Type with highest number of orders:</t>
  </si>
  <si>
    <t>Task 9 &amp; 10: Delivery Performance by Area (Prep Time &amp; Delivery Time)</t>
  </si>
  <si>
    <t>Avg Prep_Minutes</t>
  </si>
  <si>
    <t>Avg Delivery_Minutes</t>
  </si>
  <si>
    <t>Avg Total Time (Prep+Delivery)</t>
  </si>
  <si>
    <t>Area with slowest overall performance (highest avg total time):</t>
  </si>
  <si>
    <t>Task 11 &amp; 12: Relationship Between Delivery Time and Rating</t>
  </si>
  <si>
    <t>Correlation coefficient (Delivery_Minutes vs Rating):</t>
  </si>
  <si>
    <t>Interpretation: A negative correlation indicates that as delivery time increases, customer ratings tend to decrease — i.e., slower deliveries are associated with lower satisfaction. The closer the coefficient is to -1, the stronger this inverse relationship; a value near 0 would indicate little to no linear relationship.</t>
  </si>
  <si>
    <t>Task 13 &amp; 14: Promo Usage — Average Order Value &amp; Count</t>
  </si>
  <si>
    <t>Task 13 note: "No" row above represents orders where no promo was used — its Number of Orders and Average Order Value are shown directly in the table.</t>
  </si>
  <si>
    <t>PIVOTTABLE SUMMARY (Task 16) — Area x Customer Type</t>
  </si>
  <si>
    <t>Built as a live formula-driven cross-tab (AVERAGEIFS/COUNTIFS/SUMIFS) equivalent to an Excel PivotTable summarizing Delivery Area and Customer Type against Number of Orders, Average Order Value, Average Delivery Time, and Average Rating. To view as a native interactive PivotTable in Excel: select Cleaned_Data!A11:L61, then Insert &gt; PivotTable, and set Area and Customer_Type as Rows, and Order_Value/Delivery_Minutes/Rating as Values (Average) with Order_ID as Values (Count).</t>
  </si>
  <si>
    <t>Average Delivery Time (min)</t>
  </si>
  <si>
    <t>Average Rating</t>
  </si>
  <si>
    <t>GRAND TOTAL</t>
  </si>
  <si>
    <t>CHARTS (Task 15)</t>
  </si>
  <si>
    <t>Chart 1 Data: Orders by Delivery Area</t>
  </si>
  <si>
    <t>Chart 2 Data: Average Order Value by Customer Type</t>
  </si>
  <si>
    <t>Chart 3 Data: Average Rating by Delivery Area</t>
  </si>
  <si>
    <t>TOP 5 ORDERS BY ORDER VALUE (Task 17)</t>
  </si>
  <si>
    <t>Ranked using a tie-safe rank helper (RANK.EQ + COUNTIF for tie-breaking) so orders with equal Order_Value each get a distinct rank, then INDEX/MATCH pulls the matching row from Cleaned_Data.</t>
  </si>
  <si>
    <t>Helper: TieRank</t>
  </si>
  <si>
    <t>Helper: Order_ID</t>
  </si>
  <si>
    <t>Rank</t>
  </si>
  <si>
    <t>PATTERNS &amp; EVIDENCE-BASED RECOMMENDATIONS (Tasks 18-19)</t>
  </si>
  <si>
    <t>Task 18: Important Patterns Identified</t>
  </si>
  <si>
    <t>• Delivery time drives ratings down</t>
  </si>
  <si>
    <t>Delivery_Minutes and Rating have a correlation of about -0.70 (see Descriptive_Stats, Task 11-12): the longer a delivery takes, the lower the customer rates the order. This is the strongest relationship in the dataset.</t>
  </si>
  <si>
    <t>• North is the slowest and lowest-rated area</t>
  </si>
  <si>
    <t>North has the highest average combined prep+delivery time (~57 min) of all four areas and the lowest average rating (~3.87), while Central is fastest overall and has the highest average rating (~4.25) — consistent with the delivery-time/rating pattern above.</t>
  </si>
  <si>
    <t>• Returning customers order more per transaction, not more often</t>
  </si>
  <si>
    <t>Returning customers place fewer total orders than New customers but spend nearly double per order on average (see Descriptive_Stats, Task 4) — order value, not order frequency, is where returning customers add value.</t>
  </si>
  <si>
    <t>• Promo usage is linked to lower average order value and rating, not higher</t>
  </si>
  <si>
    <t>Orders using a promo have a lower average order value and a slightly lower average rating than orders placed without a promo (see Descriptive_Stats, Task 13-14). This suggests current promos may be attracting smaller, price-sensitive orders rather than driving larger baskets.</t>
  </si>
  <si>
    <t>• Regular orders rate best; Combo orders rate worst</t>
  </si>
  <si>
    <t>Regular order types have the highest average rating despite the lowest average order value, while Combo orders have the lowest average rating despite a mid-range order value — larger/combined orders may be harder to prepare and deliver without quality slipping.</t>
  </si>
  <si>
    <t>Task 19: Evidence-Based Recommendations</t>
  </si>
  <si>
    <t>1. Prioritize reducing delivery time in North</t>
  </si>
  <si>
    <t>Since North has both the slowest deliveries and the lowest ratings, and delivery time correlates strongly (-0.70) with rating, addressing North's delivery logistics — e.g., adding riders or reviewing routing during peak hours — is likely to produce the largest satisfaction gain of any single operational change.</t>
  </si>
  <si>
    <t>2. Redesign Combo order fulfillment</t>
  </si>
  <si>
    <t>Combo orders have the lowest average rating of the three order types despite decent order values. Reviewing how Combo orders are packed and staged for delivery (e.g., separating hot/cold items, dedicated prep lanes) could lift ratings without sacrificing revenue from this order type.</t>
  </si>
  <si>
    <t>3. Re-evaluate promo targeting and design</t>
  </si>
  <si>
    <t>Current promos are associated with lower average order value and rating rather than higher — the opposite of what promos are meant to drive. Consider redesigning promos around minimum order thresholds or bundling with Regular/Large orders (the highest-rated types) instead of blanket discounts.</t>
  </si>
  <si>
    <t>4. Build retention around order value, not order frequency</t>
  </si>
  <si>
    <t>Returning customers already spend ~72% more per order than New customers. Loyalty programs should focus on increasing basket size for New customers (e.g., first-order incentives tied to order value) rather than purely on repeat-visit frequency, since that is where Returning customers already excel.</t>
  </si>
</sst>
</file>

<file path=xl/styles.xml><?xml version="1.0" encoding="utf-8"?>
<styleSheet xmlns="http://schemas.openxmlformats.org/spreadsheetml/2006/main">
  <numFmts count="5">
    <numFmt numFmtId="0" formatCode="General"/>
    <numFmt numFmtId="2" formatCode="0.00"/>
    <numFmt numFmtId="3" formatCode="#,##0"/>
    <numFmt numFmtId="4" formatCode="#,##0.00"/>
    <numFmt numFmtId="164" formatCode="0.000"/>
  </numFmts>
  <fonts count="8">
    <font>
      <name val="Calibri"/>
      <sz val="11"/>
    </font>
    <font>
      <name val="Calibri"/>
      <charset val="1"/>
      <sz val="11"/>
      <color rgb="FF000000"/>
    </font>
    <font>
      <name val="Arial"/>
      <b/>
      <charset val="1"/>
      <sz val="14"/>
      <color rgb="FFFFFFFF"/>
    </font>
    <font>
      <name val="Arial"/>
      <b/>
      <charset val="1"/>
      <sz val="10"/>
      <color rgb="FFFFFFFF"/>
    </font>
    <font>
      <name val="Arial"/>
      <charset val="1"/>
      <sz val="10"/>
    </font>
    <font>
      <name val="Arial"/>
      <b/>
      <charset val="1"/>
      <sz val="10"/>
    </font>
    <font>
      <name val="Arial"/>
      <i/>
      <charset val="1"/>
      <sz val="9"/>
      <color rgb="FF666666"/>
    </font>
    <font>
      <name val="Arial"/>
      <b/>
      <charset val="1"/>
      <sz val="12"/>
      <color rgb="FF2E5395"/>
    </font>
  </fonts>
  <fills count="4">
    <fill>
      <patternFill patternType="none"/>
    </fill>
    <fill>
      <patternFill patternType="gray125"/>
    </fill>
    <fill>
      <patternFill patternType="solid">
        <fgColor rgb="FF2E5395"/>
        <bgColor rgb="FF4472C4"/>
      </patternFill>
    </fill>
    <fill>
      <patternFill patternType="solid">
        <fgColor rgb="FF4472C4"/>
        <bgColor rgb="FF4F81B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2" borderId="0" xfId="0" applyFont="1" applyBorder="1" applyAlignment="1">
      <alignment horizontal="center" vertical="center"/>
    </xf>
    <xf numFmtId="0" fontId="3" fillId="3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Border="1" applyAlignment="1">
      <alignment vertical="bottom"/>
    </xf>
    <xf numFmtId="0" fontId="6" fillId="0" borderId="0" xfId="0" applyFont="1" applyBorder="1" applyAlignment="1">
      <alignment vertical="bottom"/>
    </xf>
    <xf numFmtId="0" fontId="7" fillId="0" borderId="0" xfId="0" applyFont="1" applyBorder="1" applyAlignment="1">
      <alignment vertical="bottom"/>
    </xf>
    <xf numFmtId="0" fontId="5" fillId="0" borderId="1" xfId="0" applyFont="1" applyBorder="1" applyAlignment="1">
      <alignment vertical="bottom"/>
    </xf>
    <xf numFmtId="2" fontId="4" fillId="0" borderId="1" xfId="0" applyFont="1" applyBorder="1" applyAlignment="1">
      <alignment vertical="bottom"/>
    </xf>
    <xf numFmtId="0" fontId="4" fillId="0" borderId="1" xfId="0" applyFont="1" applyBorder="1" applyAlignment="1">
      <alignment vertical="bottom"/>
    </xf>
    <xf numFmtId="3" fontId="4" fillId="0" borderId="1" xfId="0" applyFont="1" applyBorder="1" applyAlignment="1">
      <alignment vertical="bottom"/>
    </xf>
    <xf numFmtId="4" fontId="4" fillId="0" borderId="1" xfId="0" applyFont="1" applyBorder="1" applyAlignment="1">
      <alignment vertical="bottom"/>
    </xf>
    <xf numFmtId="3" fontId="5" fillId="0" borderId="1" xfId="0" applyFont="1" applyBorder="1" applyAlignment="1">
      <alignment vertical="bottom"/>
    </xf>
    <xf numFmtId="4" fontId="5" fillId="0" borderId="1" xfId="0" applyFont="1" applyBorder="1" applyAlignment="1">
      <alignment vertical="bottom"/>
    </xf>
    <xf numFmtId="0" fontId="6" fillId="0" borderId="0" xfId="0" applyFont="1" applyBorder="1" applyAlignment="1">
      <alignment vertical="top" wrapText="1"/>
    </xf>
    <xf numFmtId="0" fontId="5" fillId="0" borderId="0" xfId="0" applyFont="1" applyAlignment="1">
      <alignment vertical="bottom"/>
    </xf>
    <xf numFmtId="164" fontId="5" fillId="0" borderId="0" xfId="0" applyFont="1" applyAlignment="1">
      <alignment vertical="bottom"/>
    </xf>
    <xf numFmtId="2" fontId="5" fillId="0" borderId="1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Border="1" applyAlignment="1">
      <alignment vertical="bottom"/>
    </xf>
    <xf numFmtId="0" fontId="5" fillId="0" borderId="0" xfId="0" applyFont="1" applyBorder="1" applyAlignment="1">
      <alignment vertical="bottom"/>
    </xf>
    <xf numFmtId="0" fontId="4" fillId="0" borderId="0" xfId="0" applyFont="1" applyBorder="1" applyAlignment="1">
      <alignment horizontal="left" vertical="top" wrapText="1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78787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4F81BD"/>
      <rgbColor rgb="00003300"/>
      <rgbColor rgb="00333300"/>
      <rgbColor rgb="00993300"/>
      <rgbColor rgb="00993366"/>
      <rgbColor rgb="002E5395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www.wps.cn/officeDocument/2020/cellImage" Target="cellimages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charts/_rels/chart4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5.xml.rels><?xml version="1.0" encoding="UTF-8" standalone="yes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6.xml.rels><?xml version="1.0" encoding="UTF-8" standalone="yes"?>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8.xml.rels><?xml version="1.0" encoding="UTF-8" standalone="yes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Relationship Id="rId3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Orders by Delivery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Charts!$B$5:$B$8</c:f>
              <c:numCache>
                <c:formatCode>General</c:formatCode>
                <c:ptCount val="4"/>
                <c:pt idx="0">
                  <c:v>13.0</c:v>
                </c:pt>
                <c:pt idx="1">
                  <c:v>16.0</c:v>
                </c:pt>
                <c:pt idx="2">
                  <c:v>8.0</c:v>
                </c:pt>
                <c:pt idx="3">
                  <c:v>13.0</c:v>
                </c:pt>
              </c:numCache>
            </c:numRef>
          </c:val>
        </c:ser>
        <c:gapWidth val="150"/>
        <c:overlap val="0"/>
        <c:axId val="21318727"/>
        <c:axId val="26739427"/>
      </c:barChart>
      <c:catAx>
        <c:axId val="213187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26739427"/>
        <c:crosses val="autoZero"/>
        <c:auto val="1"/>
        <c:lblAlgn val="ctr"/>
        <c:lblOffset val="100"/>
        <c:noMultiLvlLbl val="0"/>
      </c:catAx>
      <c:valAx>
        <c:axId val="26739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213187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Order Value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Average Order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Charts!$A$13:$A$14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Charts!$B$13:$B$14</c:f>
              <c:numCache>
                <c:formatCode>#,##0.00</c:formatCode>
                <c:ptCount val="2"/>
                <c:pt idx="0">
                  <c:v>576.129032258064</c:v>
                </c:pt>
                <c:pt idx="1">
                  <c:v>990.0</c:v>
                </c:pt>
              </c:numCache>
            </c:numRef>
          </c:val>
        </c:ser>
        <c:gapWidth val="150"/>
        <c:overlap val="0"/>
        <c:axId val="65823889"/>
        <c:axId val="19424366"/>
      </c:barChart>
      <c:catAx>
        <c:axId val="65823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Customer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19424366"/>
        <c:crosses val="autoZero"/>
        <c:auto val="1"/>
        <c:lblAlgn val="ctr"/>
        <c:lblOffset val="100"/>
        <c:noMultiLvlLbl val="0"/>
      </c:catAx>
      <c:valAx>
        <c:axId val="194243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Average Order Value (PHP)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65823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Rating by Delivery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Charts!$A$19:$A$22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Charts!$B$19:$B$22</c:f>
              <c:numCache>
                <c:formatCode>0.00</c:formatCode>
                <c:ptCount val="4"/>
                <c:pt idx="0">
                  <c:v>3.86923076923077</c:v>
                </c:pt>
                <c:pt idx="1">
                  <c:v>4.125</c:v>
                </c:pt>
                <c:pt idx="2">
                  <c:v>4.0625</c:v>
                </c:pt>
                <c:pt idx="3">
                  <c:v>4.24615384615385</c:v>
                </c:pt>
              </c:numCache>
            </c:numRef>
          </c:val>
        </c:ser>
        <c:gapWidth val="150"/>
        <c:overlap val="0"/>
        <c:axId val="45592265"/>
        <c:axId val="30330645"/>
      </c:barChart>
      <c:catAx>
        <c:axId val="455922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30330645"/>
        <c:crosses val="autoZero"/>
        <c:auto val="1"/>
        <c:lblAlgn val="ctr"/>
        <c:lblOffset val="100"/>
        <c:noMultiLvlLbl val="0"/>
      </c:catAx>
      <c:valAx>
        <c:axId val="30330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Average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455922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P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Charts!$A$19:$A$22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Charts!$B$19:$B$22</c:f>
              <c:numCache>
                <c:formatCode>0.00</c:formatCode>
                <c:ptCount val="4"/>
                <c:pt idx="0">
                  <c:v>3.86923076923077</c:v>
                </c:pt>
                <c:pt idx="1">
                  <c:v>4.125</c:v>
                </c:pt>
                <c:pt idx="2">
                  <c:v>4.0625</c:v>
                </c:pt>
                <c:pt idx="3">
                  <c:v>4.24615384615385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647677"/>
        <c:axId val="499774620"/>
      </c:barChart>
      <c:catAx>
        <c:axId val="3056476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H"/>
          </a:p>
        </c:txPr>
        <c:crossAx val="499774620"/>
        <c:crosses val="autoZero"/>
        <c:auto val="1"/>
        <c:lblAlgn val="ctr"/>
        <c:lblOffset val="100"/>
        <c:noMultiLvlLbl val="0"/>
      </c:catAx>
      <c:valAx>
        <c:axId val="4997746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H"/>
          </a:p>
        </c:txPr>
        <c:crossAx val="30564767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P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rating by delivery area 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Charts!$A$19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Charts!$B$18</c:f>
              <c:strCache>
                <c:ptCount val="1"/>
                <c:pt idx="0">
                  <c:v>Average Rating</c:v>
                </c:pt>
              </c:strCache>
            </c:strRef>
          </c:cat>
          <c:val>
            <c:numRef>
              <c:f>Charts!$B$19</c:f>
              <c:numCache>
                <c:formatCode>0.00</c:formatCode>
                <c:ptCount val="1"/>
                <c:pt idx="0">
                  <c:v>3.86923076923077</c:v>
                </c:pt>
              </c:numCache>
            </c:numRef>
          </c:val>
        </c:ser>
        <c:ser>
          <c:idx val="1"/>
          <c:order val="1"/>
          <c:tx>
            <c:strRef>
              <c:f>Charts!$A$20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Charts!$B$18</c:f>
              <c:strCache>
                <c:ptCount val="1"/>
                <c:pt idx="0">
                  <c:v>Average Rating</c:v>
                </c:pt>
              </c:strCache>
            </c:strRef>
          </c:cat>
          <c:val>
            <c:numRef>
              <c:f>Charts!$B$20</c:f>
              <c:numCache>
                <c:formatCode>0.00</c:formatCode>
                <c:ptCount val="1"/>
                <c:pt idx="0">
                  <c:v>4.125</c:v>
                </c:pt>
              </c:numCache>
            </c:numRef>
          </c:val>
        </c:ser>
        <c:ser>
          <c:idx val="2"/>
          <c:order val="2"/>
          <c:tx>
            <c:strRef>
              <c:f>Charts!$A$21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Charts!$B$18</c:f>
              <c:strCache>
                <c:ptCount val="1"/>
                <c:pt idx="0">
                  <c:v>Average Rating</c:v>
                </c:pt>
              </c:strCache>
            </c:strRef>
          </c:cat>
          <c:val>
            <c:numRef>
              <c:f>Charts!$B$21</c:f>
              <c:numCache>
                <c:formatCode>0.00</c:formatCode>
                <c:ptCount val="1"/>
                <c:pt idx="0">
                  <c:v>4.0625</c:v>
                </c:pt>
              </c:numCache>
            </c:numRef>
          </c:val>
        </c:ser>
        <c:ser>
          <c:idx val="3"/>
          <c:order val="3"/>
          <c:tx>
            <c:strRef>
              <c:f>Charts!$A$22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Charts!$B$18</c:f>
              <c:strCache>
                <c:ptCount val="1"/>
                <c:pt idx="0">
                  <c:v>Average Rating</c:v>
                </c:pt>
              </c:strCache>
            </c:strRef>
          </c:cat>
          <c:val>
            <c:numRef>
              <c:f>Charts!$B$22</c:f>
              <c:numCache>
                <c:formatCode>0.00</c:formatCode>
                <c:ptCount val="1"/>
                <c:pt idx="0">
                  <c:v>4.24615384615385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116076"/>
        <c:axId val="969410439"/>
      </c:barChart>
      <c:catAx>
        <c:axId val="5031160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H"/>
          </a:p>
        </c:txPr>
        <c:crossAx val="969410439"/>
        <c:crosses val="autoZero"/>
        <c:auto val="1"/>
        <c:lblAlgn val="ctr"/>
        <c:lblOffset val="100"/>
        <c:noMultiLvlLbl val="0"/>
      </c:catAx>
      <c:valAx>
        <c:axId val="969410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H"/>
          </a:p>
        </c:txPr>
        <c:crossAx val="5031160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Orders by Delivery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Charts!$B$5:$B$8</c:f>
              <c:numCache>
                <c:formatCode>General</c:formatCode>
                <c:ptCount val="4"/>
                <c:pt idx="0">
                  <c:v>13.0</c:v>
                </c:pt>
                <c:pt idx="1">
                  <c:v>16.0</c:v>
                </c:pt>
                <c:pt idx="2">
                  <c:v>8.0</c:v>
                </c:pt>
                <c:pt idx="3">
                  <c:v>13.0</c:v>
                </c:pt>
              </c:numCache>
            </c:numRef>
          </c:val>
        </c:ser>
        <c:gapWidth val="150"/>
        <c:overlap val="0"/>
        <c:axId val="21318727"/>
        <c:axId val="26739427"/>
      </c:barChart>
      <c:catAx>
        <c:axId val="213187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26739427"/>
        <c:crosses val="autoZero"/>
        <c:auto val="1"/>
        <c:lblAlgn val="ctr"/>
        <c:lblOffset val="100"/>
        <c:noMultiLvlLbl val="0"/>
      </c:catAx>
      <c:valAx>
        <c:axId val="26739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213187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Order Value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Average Order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Charts!$A$13:$A$14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Charts!$B$13:$B$14</c:f>
              <c:numCache>
                <c:formatCode>#,##0.00</c:formatCode>
                <c:ptCount val="2"/>
                <c:pt idx="0">
                  <c:v>576.129032258064</c:v>
                </c:pt>
                <c:pt idx="1">
                  <c:v>990.0</c:v>
                </c:pt>
              </c:numCache>
            </c:numRef>
          </c:val>
        </c:ser>
        <c:gapWidth val="150"/>
        <c:overlap val="0"/>
        <c:axId val="65823889"/>
        <c:axId val="19424366"/>
      </c:barChart>
      <c:catAx>
        <c:axId val="65823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Customer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19424366"/>
        <c:crosses val="autoZero"/>
        <c:auto val="1"/>
        <c:lblAlgn val="ctr"/>
        <c:lblOffset val="100"/>
        <c:noMultiLvlLbl val="0"/>
      </c:catAx>
      <c:valAx>
        <c:axId val="194243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Average Order Value (PHP)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65823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P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rating by delivery area 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Charts!$A$19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Charts!$B$18</c:f>
              <c:strCache>
                <c:ptCount val="1"/>
                <c:pt idx="0">
                  <c:v>Average Rating</c:v>
                </c:pt>
              </c:strCache>
            </c:strRef>
          </c:cat>
          <c:val>
            <c:numRef>
              <c:f>Charts!$B$19</c:f>
              <c:numCache>
                <c:formatCode>0.00</c:formatCode>
                <c:ptCount val="1"/>
                <c:pt idx="0">
                  <c:v>3.86923076923077</c:v>
                </c:pt>
              </c:numCache>
            </c:numRef>
          </c:val>
        </c:ser>
        <c:ser>
          <c:idx val="1"/>
          <c:order val="1"/>
          <c:tx>
            <c:strRef>
              <c:f>Charts!$A$20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Charts!$B$18</c:f>
              <c:strCache>
                <c:ptCount val="1"/>
                <c:pt idx="0">
                  <c:v>Average Rating</c:v>
                </c:pt>
              </c:strCache>
            </c:strRef>
          </c:cat>
          <c:val>
            <c:numRef>
              <c:f>Charts!$B$20</c:f>
              <c:numCache>
                <c:formatCode>0.00</c:formatCode>
                <c:ptCount val="1"/>
                <c:pt idx="0">
                  <c:v>4.125</c:v>
                </c:pt>
              </c:numCache>
            </c:numRef>
          </c:val>
        </c:ser>
        <c:ser>
          <c:idx val="2"/>
          <c:order val="2"/>
          <c:tx>
            <c:strRef>
              <c:f>Charts!$A$21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Charts!$B$18</c:f>
              <c:strCache>
                <c:ptCount val="1"/>
                <c:pt idx="0">
                  <c:v>Average Rating</c:v>
                </c:pt>
              </c:strCache>
            </c:strRef>
          </c:cat>
          <c:val>
            <c:numRef>
              <c:f>Charts!$B$21</c:f>
              <c:numCache>
                <c:formatCode>0.00</c:formatCode>
                <c:ptCount val="1"/>
                <c:pt idx="0">
                  <c:v>4.0625</c:v>
                </c:pt>
              </c:numCache>
            </c:numRef>
          </c:val>
        </c:ser>
        <c:ser>
          <c:idx val="3"/>
          <c:order val="3"/>
          <c:tx>
            <c:strRef>
              <c:f>Charts!$A$22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Charts!$B$18</c:f>
              <c:strCache>
                <c:ptCount val="1"/>
                <c:pt idx="0">
                  <c:v>Average Rating</c:v>
                </c:pt>
              </c:strCache>
            </c:strRef>
          </c:cat>
          <c:val>
            <c:numRef>
              <c:f>Charts!$B$22</c:f>
              <c:numCache>
                <c:formatCode>0.00</c:formatCode>
                <c:ptCount val="1"/>
                <c:pt idx="0">
                  <c:v>4.24615384615385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116076"/>
        <c:axId val="969410439"/>
      </c:barChart>
      <c:catAx>
        <c:axId val="5031160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H"/>
          </a:p>
        </c:txPr>
        <c:crossAx val="969410439"/>
        <c:crosses val="autoZero"/>
        <c:auto val="1"/>
        <c:lblAlgn val="ctr"/>
        <c:lblOffset val="100"/>
        <c:noMultiLvlLbl val="0"/>
      </c:catAx>
      <c:valAx>
        <c:axId val="969410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H"/>
          </a:p>
        </c:txPr>
        <c:crossAx val="5031160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513436</xdr:colOff>
      <xdr:row>22</xdr:row>
      <xdr:rowOff>0</xdr:rowOff>
    </xdr:from>
    <xdr:to>
      <xdr:col>8</xdr:col>
      <xdr:colOff>627379</xdr:colOff>
      <xdr:row>1048575</xdr:row>
      <xdr:rowOff>164455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295237</xdr:colOff>
      <xdr:row>22</xdr:row>
      <xdr:rowOff>0</xdr:rowOff>
    </xdr:from>
    <xdr:to>
      <xdr:col>18</xdr:col>
      <xdr:colOff>418253</xdr:colOff>
      <xdr:row>1048575</xdr:row>
      <xdr:rowOff>164455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36</xdr:row>
      <xdr:rowOff>0</xdr:rowOff>
    </xdr:from>
    <xdr:to>
      <xdr:col>10</xdr:col>
      <xdr:colOff>3844</xdr:colOff>
      <xdr:row>51</xdr:row>
      <xdr:rowOff>0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7</xdr:col>
      <xdr:colOff>393650</xdr:colOff>
      <xdr:row>40</xdr:row>
      <xdr:rowOff>0</xdr:rowOff>
    </xdr:to>
    <xdr:graphicFrame macro="">
      <xdr:nvGraphicFramePr>
        <xdr:cNvPr name="图表 4" id="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531273</xdr:colOff>
      <xdr:row>22</xdr:row>
      <xdr:rowOff>0</xdr:rowOff>
    </xdr:from>
    <xdr:to>
      <xdr:col>25</xdr:col>
      <xdr:colOff>138392</xdr:colOff>
      <xdr:row>1048575</xdr:row>
      <xdr:rowOff>164455</xdr:rowOff>
    </xdr:to>
    <xdr:graphicFrame macro="">
      <xdr:nvGraphicFramePr>
        <xdr:cNvPr name="图表 5" id="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136086</xdr:colOff>
      <xdr:row>0</xdr:row>
      <xdr:rowOff>62879</xdr:rowOff>
    </xdr:from>
    <xdr:to>
      <xdr:col>8</xdr:col>
      <xdr:colOff>411333</xdr:colOff>
      <xdr:row>13</xdr:row>
      <xdr:rowOff>152362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146081</xdr:colOff>
      <xdr:row>17</xdr:row>
      <xdr:rowOff>12092</xdr:rowOff>
    </xdr:from>
    <xdr:to>
      <xdr:col>8</xdr:col>
      <xdr:colOff>273709</xdr:colOff>
      <xdr:row>32</xdr:row>
      <xdr:rowOff>88676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187598</xdr:colOff>
      <xdr:row>36</xdr:row>
      <xdr:rowOff>88676</xdr:rowOff>
    </xdr:from>
    <xdr:to>
      <xdr:col>7</xdr:col>
      <xdr:colOff>565103</xdr:colOff>
      <xdr:row>51</xdr:row>
      <xdr:rowOff>126565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rgbClr val="000000"/>
    </a:dk1>
    <a:lt1>
      <a:srgbClr val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itchFamily="0" charset="1"/>
      <a:ea typeface=""/>
      <a:cs typeface=""/>
    </a:majorFont>
    <a:minorFont>
      <a:latin typeface="Calibri" pitchFamily="0" charset="1"/>
      <a:ea typeface=""/>
      <a:cs typeface=""/>
    </a:minorFont>
  </a:fontScheme>
  <a:fmtScheme>
    <a:fillStyleLst>
      <a:solidFill>
        <a:schemeClr val="phClr"/>
      </a:solidFill>
      <a:gradFill>
        <a:gsLst>
          <a:gs pos="0">
            <a:schemeClr val="phClr">
              <a:tint val="50000"/>
            </a:schemeClr>
          </a:gs>
          <a:gs pos="35000">
            <a:schemeClr val="phClr">
              <a:tint val="37000"/>
            </a:schemeClr>
          </a:gs>
          <a:gs pos="100000">
            <a:schemeClr val="phClr">
              <a:tint val="15000"/>
            </a:schemeClr>
          </a:gs>
        </a:gsLst>
        <a:lin ang="16200000" scaled="1"/>
        <a:tileRect l="0" t="0" r="0" b="0"/>
      </a:gradFill>
      <a:gradFill>
        <a:gsLst>
          <a:gs pos="0">
            <a:schemeClr val="phClr">
              <a:shade val="51000"/>
            </a:schemeClr>
          </a:gs>
          <a:gs pos="80000">
            <a:schemeClr val="phClr">
              <a:shade val="93000"/>
            </a:schemeClr>
          </a:gs>
          <a:gs pos="100000">
            <a:schemeClr val="phClr">
              <a:shade val="94000"/>
            </a:schemeClr>
          </a:gs>
        </a:gsLst>
        <a:lin ang="16200000" scaled="0"/>
        <a:tileRect l="0" t="0" r="0" b="0"/>
      </a:gradFill>
    </a:fillStyleLst>
    <a:lnStyleLst>
      <a:ln w="9525" cap="flat" cmpd="sng" algn="ctr">
        <a:prstDash val="solid"/>
      </a:ln>
      <a:ln w="25400" cap="flat" cmpd="sng" algn="ctr">
        <a:prstDash val="solid"/>
      </a:ln>
      <a:ln w="38100" cap="flat" cmpd="sng" algn="ctr">
        <a:prstDash val="solid"/>
      </a:ln>
    </a:lnStyleLst>
    <a:effectStyleLst>
      <a:effectStyle>
        <a:effectLst/>
      </a:effectStyle>
      <a:effectStyle>
        <a:effectLst/>
      </a:effectStyle>
      <a:effectStyle>
        <a:effectLst/>
      </a:effectStyle>
    </a:effectStyleLst>
    <a:bgFillStyleLst>
      <a:solidFill>
        <a:schemeClr val="phClr"/>
      </a:solidFill>
      <a:gradFill>
        <a:gsLst>
          <a:gs pos="0">
            <a:schemeClr val="phClr">
              <a:tint val="40000"/>
            </a:schemeClr>
          </a:gs>
          <a:gs pos="40000">
            <a:schemeClr val="phClr">
              <a:tint val="45000"/>
              <a:shade val="99000"/>
            </a:schemeClr>
          </a:gs>
          <a:gs pos="100000">
            <a:schemeClr val="phClr">
              <a:shade val="20000"/>
            </a:schemeClr>
          </a:gs>
        </a:gsLst>
        <a:path path="circle">
          <a:fillToRect l="50000" t="-80000" r="50000" b="180000"/>
        </a:path>
        <a:tileRect l="0" t="0" r="0" b="0"/>
      </a:gradFill>
      <a:gradFill>
        <a:gsLst>
          <a:gs pos="0">
            <a:schemeClr val="phClr">
              <a:tint val="8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50000" t="50000" r="50000" b="50000"/>
        </a:path>
        <a:tileRect l="0" t="0" r="0" b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rgbClr val="000000"/>
    </a:dk1>
    <a:lt1>
      <a:srgbClr val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itchFamily="0" charset="1"/>
      <a:ea typeface=""/>
      <a:cs typeface=""/>
    </a:majorFont>
    <a:minorFont>
      <a:latin typeface="Calibri" pitchFamily="0" charset="1"/>
      <a:ea typeface=""/>
      <a:cs typeface=""/>
    </a:minorFont>
  </a:fontScheme>
  <a:fmtScheme>
    <a:fillStyleLst>
      <a:solidFill>
        <a:schemeClr val="phClr"/>
      </a:solidFill>
      <a:gradFill>
        <a:gsLst>
          <a:gs pos="0">
            <a:schemeClr val="phClr">
              <a:tint val="50000"/>
            </a:schemeClr>
          </a:gs>
          <a:gs pos="35000">
            <a:schemeClr val="phClr">
              <a:tint val="37000"/>
            </a:schemeClr>
          </a:gs>
          <a:gs pos="100000">
            <a:schemeClr val="phClr">
              <a:tint val="15000"/>
            </a:schemeClr>
          </a:gs>
        </a:gsLst>
        <a:lin ang="16200000" scaled="1"/>
        <a:tileRect l="0" t="0" r="0" b="0"/>
      </a:gradFill>
      <a:gradFill>
        <a:gsLst>
          <a:gs pos="0">
            <a:schemeClr val="phClr">
              <a:shade val="51000"/>
            </a:schemeClr>
          </a:gs>
          <a:gs pos="80000">
            <a:schemeClr val="phClr">
              <a:shade val="93000"/>
            </a:schemeClr>
          </a:gs>
          <a:gs pos="100000">
            <a:schemeClr val="phClr">
              <a:shade val="94000"/>
            </a:schemeClr>
          </a:gs>
        </a:gsLst>
        <a:lin ang="16200000" scaled="0"/>
        <a:tileRect l="0" t="0" r="0" b="0"/>
      </a:gradFill>
    </a:fillStyleLst>
    <a:lnStyleLst>
      <a:ln w="9525" cap="flat" cmpd="sng" algn="ctr">
        <a:prstDash val="solid"/>
      </a:ln>
      <a:ln w="25400" cap="flat" cmpd="sng" algn="ctr">
        <a:prstDash val="solid"/>
      </a:ln>
      <a:ln w="38100" cap="flat" cmpd="sng" algn="ctr">
        <a:prstDash val="solid"/>
      </a:ln>
    </a:lnStyleLst>
    <a:effectStyleLst>
      <a:effectStyle>
        <a:effectLst/>
      </a:effectStyle>
      <a:effectStyle>
        <a:effectLst/>
      </a:effectStyle>
      <a:effectStyle>
        <a:effectLst/>
      </a:effectStyle>
    </a:effectStyleLst>
    <a:bgFillStyleLst>
      <a:solidFill>
        <a:schemeClr val="phClr"/>
      </a:solidFill>
      <a:gradFill>
        <a:gsLst>
          <a:gs pos="0">
            <a:schemeClr val="phClr">
              <a:tint val="40000"/>
            </a:schemeClr>
          </a:gs>
          <a:gs pos="40000">
            <a:schemeClr val="phClr">
              <a:tint val="45000"/>
              <a:shade val="99000"/>
            </a:schemeClr>
          </a:gs>
          <a:gs pos="100000">
            <a:schemeClr val="phClr">
              <a:shade val="20000"/>
            </a:schemeClr>
          </a:gs>
        </a:gsLst>
        <a:path path="circle">
          <a:fillToRect l="50000" t="-80000" r="50000" b="180000"/>
        </a:path>
        <a:tileRect l="0" t="0" r="0" b="0"/>
      </a:gradFill>
      <a:gradFill>
        <a:gsLst>
          <a:gs pos="0">
            <a:schemeClr val="phClr">
              <a:tint val="8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50000" t="50000" r="50000" b="50000"/>
        </a:path>
        <a:tileRect l="0" t="0" r="0" b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rgbClr val="000000"/>
    </a:dk1>
    <a:lt1>
      <a:srgbClr val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itchFamily="0" charset="1"/>
      <a:ea typeface=""/>
      <a:cs typeface=""/>
    </a:majorFont>
    <a:minorFont>
      <a:latin typeface="Calibri" pitchFamily="0" charset="1"/>
      <a:ea typeface=""/>
      <a:cs typeface=""/>
    </a:minorFont>
  </a:fontScheme>
  <a:fmtScheme>
    <a:fillStyleLst>
      <a:solidFill>
        <a:schemeClr val="phClr"/>
      </a:solidFill>
      <a:gradFill>
        <a:gsLst>
          <a:gs pos="0">
            <a:schemeClr val="phClr">
              <a:tint val="50000"/>
            </a:schemeClr>
          </a:gs>
          <a:gs pos="35000">
            <a:schemeClr val="phClr">
              <a:tint val="37000"/>
            </a:schemeClr>
          </a:gs>
          <a:gs pos="100000">
            <a:schemeClr val="phClr">
              <a:tint val="15000"/>
            </a:schemeClr>
          </a:gs>
        </a:gsLst>
        <a:lin ang="16200000" scaled="1"/>
        <a:tileRect l="0" t="0" r="0" b="0"/>
      </a:gradFill>
      <a:gradFill>
        <a:gsLst>
          <a:gs pos="0">
            <a:schemeClr val="phClr">
              <a:shade val="51000"/>
            </a:schemeClr>
          </a:gs>
          <a:gs pos="80000">
            <a:schemeClr val="phClr">
              <a:shade val="93000"/>
            </a:schemeClr>
          </a:gs>
          <a:gs pos="100000">
            <a:schemeClr val="phClr">
              <a:shade val="94000"/>
            </a:schemeClr>
          </a:gs>
        </a:gsLst>
        <a:lin ang="16200000" scaled="0"/>
        <a:tileRect l="0" t="0" r="0" b="0"/>
      </a:gradFill>
    </a:fillStyleLst>
    <a:lnStyleLst>
      <a:ln w="9525" cap="flat" cmpd="sng" algn="ctr">
        <a:prstDash val="solid"/>
      </a:ln>
      <a:ln w="25400" cap="flat" cmpd="sng" algn="ctr">
        <a:prstDash val="solid"/>
      </a:ln>
      <a:ln w="38100" cap="flat" cmpd="sng" algn="ctr">
        <a:prstDash val="solid"/>
      </a:ln>
    </a:lnStyleLst>
    <a:effectStyleLst>
      <a:effectStyle>
        <a:effectLst/>
      </a:effectStyle>
      <a:effectStyle>
        <a:effectLst/>
      </a:effectStyle>
      <a:effectStyle>
        <a:effectLst/>
      </a:effectStyle>
    </a:effectStyleLst>
    <a:bgFillStyleLst>
      <a:solidFill>
        <a:schemeClr val="phClr"/>
      </a:solidFill>
      <a:gradFill>
        <a:gsLst>
          <a:gs pos="0">
            <a:schemeClr val="phClr">
              <a:tint val="40000"/>
            </a:schemeClr>
          </a:gs>
          <a:gs pos="40000">
            <a:schemeClr val="phClr">
              <a:tint val="45000"/>
              <a:shade val="99000"/>
            </a:schemeClr>
          </a:gs>
          <a:gs pos="100000">
            <a:schemeClr val="phClr">
              <a:shade val="20000"/>
            </a:schemeClr>
          </a:gs>
        </a:gsLst>
        <a:path path="circle">
          <a:fillToRect l="50000" t="-80000" r="50000" b="180000"/>
        </a:path>
        <a:tileRect l="0" t="0" r="0" b="0"/>
      </a:gradFill>
      <a:gradFill>
        <a:gsLst>
          <a:gs pos="0">
            <a:schemeClr val="phClr">
              <a:tint val="8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50000" t="50000" r="50000" b="50000"/>
        </a:path>
        <a:tileRect l="0" t="0" r="0" b="0"/>
      </a:gradFill>
    </a:bgFillStyleLst>
  </a:fmtScheme>
</a:themeOverrid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53"/>
  <sheetViews>
    <sheetView workbookViewId="0" topLeftCell="J1" zoomScale="33">
      <pane ySplit="3" topLeftCell="A4" state="frozen" activePane="bottomLeft"/>
      <selection pane="bottomLeft" activeCell="A1" sqref="A1:L1"/>
    </sheetView>
  </sheetViews>
  <sheetFormatPr defaultRowHeight="15.0" defaultColWidth="10" zeroHeight="1"/>
  <cols>
    <col min="1" max="1" customWidth="1" width="11.0" style="1"/>
    <col min="2" max="2" customWidth="1" width="6.0" style="1"/>
    <col min="3" max="3" customWidth="1" width="13.0" style="1"/>
    <col min="4" max="4" customWidth="1" width="10.0" style="1"/>
    <col min="5" max="5" customWidth="1" width="11.0" style="1"/>
    <col min="6" max="6" customWidth="1" width="7.0" style="1"/>
    <col min="7" max="9" customWidth="1" width="12.0" style="1"/>
    <col min="10" max="10" customWidth="1" width="15.0" style="1"/>
    <col min="11" max="11" customWidth="1" width="8.0" style="1"/>
    <col min="12" max="12" customWidth="1" width="11.0" style="1"/>
  </cols>
  <sheetData>
    <row r="1" spans="8:8" ht="24.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8:8" ht="1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8:8" ht="15.0" customHeight="1">
      <c r="A4" s="4" t="s">
        <v>13</v>
      </c>
      <c r="B4" s="4">
        <v>1.0</v>
      </c>
      <c r="C4" s="4" t="s">
        <v>14</v>
      </c>
      <c r="D4" s="4" t="s">
        <v>15</v>
      </c>
      <c r="E4" s="4" t="s">
        <v>16</v>
      </c>
      <c r="F4" s="4">
        <v>1.0</v>
      </c>
      <c r="G4" s="4">
        <v>180.0</v>
      </c>
      <c r="H4" s="4">
        <v>50.0</v>
      </c>
      <c r="I4" s="4">
        <v>16.0</v>
      </c>
      <c r="J4" s="4">
        <v>36.0</v>
      </c>
      <c r="K4" s="4">
        <v>4.1</v>
      </c>
      <c r="L4" s="4" t="s">
        <v>17</v>
      </c>
    </row>
    <row r="5" spans="8:8" ht="15.0" customHeight="1">
      <c r="A5" s="4" t="s">
        <v>18</v>
      </c>
      <c r="B5" s="4">
        <v>2.0</v>
      </c>
      <c r="C5" s="4" t="s">
        <v>19</v>
      </c>
      <c r="D5" s="4" t="s">
        <v>20</v>
      </c>
      <c r="E5" s="4" t="s">
        <v>21</v>
      </c>
      <c r="F5" s="4">
        <v>3.0</v>
      </c>
      <c r="G5" s="4">
        <v>360.0</v>
      </c>
      <c r="H5" s="4">
        <v>30.0</v>
      </c>
      <c r="I5" s="4">
        <v>13.0</v>
      </c>
      <c r="J5" s="4">
        <v>25.0</v>
      </c>
      <c r="K5" s="4">
        <v>3.7</v>
      </c>
      <c r="L5" s="4" t="s">
        <v>17</v>
      </c>
    </row>
    <row r="6" spans="8:8" ht="15.0" customHeight="1">
      <c r="A6" s="4" t="s">
        <v>22</v>
      </c>
      <c r="B6" s="4">
        <v>3.0</v>
      </c>
      <c r="C6" s="4" t="s">
        <v>14</v>
      </c>
      <c r="D6" s="4" t="s">
        <v>23</v>
      </c>
      <c r="E6" s="4" t="s">
        <v>16</v>
      </c>
      <c r="F6" s="4">
        <v>1.0</v>
      </c>
      <c r="G6" s="4">
        <v>120.0</v>
      </c>
      <c r="H6" s="4">
        <v>60.0</v>
      </c>
      <c r="I6" s="4">
        <v>24.0</v>
      </c>
      <c r="J6" s="4">
        <v>23.0</v>
      </c>
      <c r="K6" s="4">
        <v>4.7</v>
      </c>
      <c r="L6" s="4" t="s">
        <v>17</v>
      </c>
    </row>
    <row r="7" spans="8:8" ht="15.0" customHeight="1">
      <c r="A7" s="4" t="s">
        <v>24</v>
      </c>
      <c r="B7" s="4">
        <v>4.0</v>
      </c>
      <c r="C7" s="4" t="s">
        <v>19</v>
      </c>
      <c r="D7" s="4" t="s">
        <v>20</v>
      </c>
      <c r="E7" s="4" t="s">
        <v>21</v>
      </c>
      <c r="F7" s="4">
        <v>1.0</v>
      </c>
      <c r="G7" s="4">
        <v>120.0</v>
      </c>
      <c r="H7" s="4">
        <v>50.0</v>
      </c>
      <c r="I7" s="4">
        <v>28.0</v>
      </c>
      <c r="J7" s="4">
        <v>53.0</v>
      </c>
      <c r="K7" s="4">
        <v>4.0</v>
      </c>
      <c r="L7" s="4" t="s">
        <v>25</v>
      </c>
    </row>
    <row r="8" spans="8:8" ht="15.0" customHeight="1">
      <c r="A8" s="4" t="s">
        <v>26</v>
      </c>
      <c r="B8" s="4">
        <v>5.0</v>
      </c>
      <c r="C8" s="4" t="s">
        <v>19</v>
      </c>
      <c r="D8" s="4" t="s">
        <v>20</v>
      </c>
      <c r="E8" s="4" t="s">
        <v>21</v>
      </c>
      <c r="F8" s="4">
        <v>3.0</v>
      </c>
      <c r="G8" s="4">
        <v>360.0</v>
      </c>
      <c r="H8" s="4">
        <v>30.0</v>
      </c>
      <c r="I8" s="4">
        <v>19.0</v>
      </c>
      <c r="J8" s="4">
        <v>41.0</v>
      </c>
      <c r="K8" s="4">
        <v>3.7</v>
      </c>
      <c r="L8" s="4" t="s">
        <v>17</v>
      </c>
    </row>
    <row r="9" spans="8:8" ht="15.0" customHeight="1">
      <c r="A9" s="4" t="s">
        <v>27</v>
      </c>
      <c r="B9" s="4">
        <v>6.0</v>
      </c>
      <c r="C9" s="4" t="s">
        <v>14</v>
      </c>
      <c r="D9" s="4" t="s">
        <v>23</v>
      </c>
      <c r="E9" s="4" t="s">
        <v>28</v>
      </c>
      <c r="F9" s="4">
        <v>2.0</v>
      </c>
      <c r="G9" s="4">
        <v>500.0</v>
      </c>
      <c r="H9" s="4">
        <v>60.0</v>
      </c>
      <c r="I9" s="4">
        <v>16.0</v>
      </c>
      <c r="J9" s="4">
        <v>45.0</v>
      </c>
      <c r="K9" s="4">
        <v>4.2</v>
      </c>
      <c r="L9" s="4" t="s">
        <v>25</v>
      </c>
    </row>
    <row r="10" spans="8:8" ht="15.0" customHeight="1">
      <c r="A10" s="4" t="s">
        <v>29</v>
      </c>
      <c r="B10" s="4">
        <v>7.0</v>
      </c>
      <c r="C10" s="4" t="s">
        <v>19</v>
      </c>
      <c r="D10" s="4" t="s">
        <v>30</v>
      </c>
      <c r="E10" s="4" t="s">
        <v>16</v>
      </c>
      <c r="F10" s="4">
        <v>2.0</v>
      </c>
      <c r="G10" s="4">
        <v>500.0</v>
      </c>
      <c r="H10" s="4">
        <v>40.0</v>
      </c>
      <c r="I10" s="4">
        <v>17.0</v>
      </c>
      <c r="J10" s="4">
        <v>31.0</v>
      </c>
      <c r="K10" s="4">
        <v>4.5</v>
      </c>
      <c r="L10" s="4" t="s">
        <v>25</v>
      </c>
    </row>
    <row r="11" spans="8:8" ht="15.0" customHeight="1">
      <c r="A11" s="4" t="s">
        <v>31</v>
      </c>
      <c r="B11" s="4">
        <v>8.0</v>
      </c>
      <c r="C11" s="4" t="s">
        <v>19</v>
      </c>
      <c r="D11" s="4" t="s">
        <v>15</v>
      </c>
      <c r="E11" s="4" t="s">
        <v>21</v>
      </c>
      <c r="F11" s="4">
        <v>4.0</v>
      </c>
      <c r="G11" s="4">
        <v>480.0</v>
      </c>
      <c r="H11" s="4">
        <v>30.0</v>
      </c>
      <c r="I11" s="4">
        <v>9.0</v>
      </c>
      <c r="J11" s="4">
        <v>35.0</v>
      </c>
      <c r="K11" s="4">
        <v>3.9</v>
      </c>
      <c r="L11" s="4" t="s">
        <v>17</v>
      </c>
    </row>
    <row r="12" spans="8:8" ht="15.0" customHeight="1">
      <c r="A12" s="4" t="s">
        <v>32</v>
      </c>
      <c r="B12" s="4">
        <v>9.0</v>
      </c>
      <c r="C12" s="4" t="s">
        <v>14</v>
      </c>
      <c r="D12" s="4" t="s">
        <v>30</v>
      </c>
      <c r="E12" s="4" t="s">
        <v>16</v>
      </c>
      <c r="F12" s="4">
        <v>4.0</v>
      </c>
      <c r="G12" s="4">
        <v>1000.0</v>
      </c>
      <c r="H12" s="4">
        <v>30.0</v>
      </c>
      <c r="I12" s="4">
        <v>27.0</v>
      </c>
      <c r="J12" s="4">
        <v>28.0</v>
      </c>
      <c r="K12" s="4">
        <v>4.8</v>
      </c>
      <c r="L12" s="4" t="s">
        <v>17</v>
      </c>
    </row>
    <row r="13" spans="8:8" ht="15.0" customHeight="1">
      <c r="A13" s="4" t="s">
        <v>33</v>
      </c>
      <c r="B13" s="4">
        <v>10.0</v>
      </c>
      <c r="C13" s="4" t="s">
        <v>19</v>
      </c>
      <c r="D13" s="4" t="s">
        <v>30</v>
      </c>
      <c r="E13" s="4" t="s">
        <v>28</v>
      </c>
      <c r="F13" s="4">
        <v>5.0</v>
      </c>
      <c r="G13" s="4">
        <v>600.0</v>
      </c>
      <c r="H13" s="4">
        <v>50.0</v>
      </c>
      <c r="I13" s="4">
        <v>22.0</v>
      </c>
      <c r="J13" s="4">
        <v>45.0</v>
      </c>
      <c r="K13" s="4">
        <v>4.0</v>
      </c>
      <c r="L13" s="4" t="s">
        <v>17</v>
      </c>
    </row>
    <row r="14" spans="8:8" ht="15.0" customHeight="1">
      <c r="A14" s="4" t="s">
        <v>34</v>
      </c>
      <c r="B14" s="4">
        <v>11.0</v>
      </c>
      <c r="C14" s="4" t="s">
        <v>19</v>
      </c>
      <c r="D14" s="4" t="s">
        <v>15</v>
      </c>
      <c r="E14" s="4" t="s">
        <v>16</v>
      </c>
      <c r="F14" s="4">
        <v>2.0</v>
      </c>
      <c r="G14" s="4">
        <v>700.0</v>
      </c>
      <c r="H14" s="4">
        <v>40.0</v>
      </c>
      <c r="I14" s="4">
        <v>17.0</v>
      </c>
      <c r="J14" s="4">
        <v>46.0</v>
      </c>
      <c r="K14" s="4">
        <v>4.0</v>
      </c>
      <c r="L14" s="4" t="s">
        <v>17</v>
      </c>
    </row>
    <row r="15" spans="8:8" ht="15.0" customHeight="1">
      <c r="A15" s="4" t="s">
        <v>35</v>
      </c>
      <c r="B15" s="4">
        <v>12.0</v>
      </c>
      <c r="C15" s="4" t="s">
        <v>14</v>
      </c>
      <c r="D15" s="4" t="s">
        <v>30</v>
      </c>
      <c r="E15" s="4" t="s">
        <v>21</v>
      </c>
      <c r="F15" s="4">
        <v>4.0</v>
      </c>
      <c r="G15" s="4">
        <v>1400.0</v>
      </c>
      <c r="H15" s="4">
        <v>50.0</v>
      </c>
      <c r="I15" s="4">
        <v>28.0</v>
      </c>
      <c r="J15" s="4">
        <v>29.0</v>
      </c>
      <c r="K15" s="4">
        <v>4.4</v>
      </c>
      <c r="L15" s="4" t="s">
        <v>17</v>
      </c>
    </row>
    <row r="16" spans="8:8" ht="15.0" customHeight="1">
      <c r="A16" s="4" t="s">
        <v>36</v>
      </c>
      <c r="B16" s="4">
        <v>13.0</v>
      </c>
      <c r="C16" s="4" t="s">
        <v>14</v>
      </c>
      <c r="D16" s="4" t="s">
        <v>30</v>
      </c>
      <c r="E16" s="4" t="s">
        <v>28</v>
      </c>
      <c r="F16" s="4">
        <v>5.0</v>
      </c>
      <c r="G16" s="4">
        <v>2500.0</v>
      </c>
      <c r="H16" s="4">
        <v>50.0</v>
      </c>
      <c r="I16" s="4">
        <v>19.0</v>
      </c>
      <c r="J16" s="4">
        <v>31.0</v>
      </c>
      <c r="K16" s="4">
        <v>3.8</v>
      </c>
      <c r="L16" s="4" t="s">
        <v>17</v>
      </c>
    </row>
    <row r="17" spans="8:8" ht="15.0" customHeight="1">
      <c r="A17" s="4" t="s">
        <v>37</v>
      </c>
      <c r="B17" s="4">
        <v>14.0</v>
      </c>
      <c r="C17" s="4" t="s">
        <v>14</v>
      </c>
      <c r="D17" s="4" t="s">
        <v>30</v>
      </c>
      <c r="E17" s="4" t="s">
        <v>21</v>
      </c>
      <c r="F17" s="4">
        <v>5.0</v>
      </c>
      <c r="G17" s="4">
        <v>1750.0</v>
      </c>
      <c r="H17" s="4">
        <v>60.0</v>
      </c>
      <c r="I17" s="4">
        <v>12.0</v>
      </c>
      <c r="J17" s="4">
        <v>57.0</v>
      </c>
      <c r="K17" s="4">
        <v>3.0</v>
      </c>
      <c r="L17" s="4" t="s">
        <v>17</v>
      </c>
    </row>
    <row r="18" spans="8:8" ht="15.0" customHeight="1">
      <c r="A18" s="4" t="s">
        <v>38</v>
      </c>
      <c r="B18" s="4">
        <v>15.0</v>
      </c>
      <c r="C18" s="4" t="s">
        <v>19</v>
      </c>
      <c r="D18" s="4" t="s">
        <v>15</v>
      </c>
      <c r="E18" s="4" t="s">
        <v>21</v>
      </c>
      <c r="F18" s="4">
        <v>4.0</v>
      </c>
      <c r="G18" s="4">
        <v>1000.0</v>
      </c>
      <c r="H18" s="4">
        <v>50.0</v>
      </c>
      <c r="I18" s="4">
        <v>16.0</v>
      </c>
      <c r="J18" s="4">
        <v>53.0</v>
      </c>
      <c r="K18" s="4">
        <v>4.1</v>
      </c>
      <c r="L18" s="4" t="s">
        <v>17</v>
      </c>
    </row>
    <row r="19" spans="8:8" ht="15.0" customHeight="1">
      <c r="A19" s="4" t="s">
        <v>39</v>
      </c>
      <c r="B19" s="4">
        <v>16.0</v>
      </c>
      <c r="C19" s="4" t="s">
        <v>19</v>
      </c>
      <c r="D19" s="4" t="s">
        <v>23</v>
      </c>
      <c r="E19" s="4" t="s">
        <v>28</v>
      </c>
      <c r="F19" s="4">
        <v>1.0</v>
      </c>
      <c r="G19" s="4">
        <v>250.0</v>
      </c>
      <c r="H19" s="4">
        <v>30.0</v>
      </c>
      <c r="I19" s="4">
        <v>17.0</v>
      </c>
      <c r="J19" s="4">
        <v>36.0</v>
      </c>
      <c r="K19" s="4">
        <v>3.9</v>
      </c>
      <c r="L19" s="4" t="s">
        <v>17</v>
      </c>
    </row>
    <row r="20" spans="8:8" ht="15.0" customHeight="1">
      <c r="A20" s="4" t="s">
        <v>40</v>
      </c>
      <c r="B20" s="4">
        <v>17.0</v>
      </c>
      <c r="C20" s="4" t="s">
        <v>19</v>
      </c>
      <c r="D20" s="4" t="s">
        <v>30</v>
      </c>
      <c r="E20" s="4" t="s">
        <v>21</v>
      </c>
      <c r="F20" s="4">
        <v>3.0</v>
      </c>
      <c r="G20" s="4">
        <v>540.0</v>
      </c>
      <c r="H20" s="4">
        <v>30.0</v>
      </c>
      <c r="I20" s="4">
        <v>14.0</v>
      </c>
      <c r="J20" s="4">
        <v>57.0</v>
      </c>
      <c r="K20" s="4">
        <v>3.0</v>
      </c>
      <c r="L20" s="4" t="s">
        <v>25</v>
      </c>
    </row>
    <row r="21" spans="8:8" ht="15.0" customHeight="1">
      <c r="A21" s="4" t="s">
        <v>41</v>
      </c>
      <c r="B21" s="4">
        <v>18.0</v>
      </c>
      <c r="C21" s="4" t="s">
        <v>14</v>
      </c>
      <c r="D21" s="4" t="s">
        <v>15</v>
      </c>
      <c r="E21" s="4" t="s">
        <v>16</v>
      </c>
      <c r="F21" s="4">
        <v>5.0</v>
      </c>
      <c r="G21" s="4">
        <v>900.0</v>
      </c>
      <c r="H21" s="4">
        <v>60.0</v>
      </c>
      <c r="I21" s="4">
        <v>23.0</v>
      </c>
      <c r="J21" s="4">
        <v>28.0</v>
      </c>
      <c r="K21" s="4">
        <v>3.7</v>
      </c>
      <c r="L21" s="4" t="s">
        <v>25</v>
      </c>
    </row>
    <row r="22" spans="8:8" ht="15.0" customHeight="1">
      <c r="A22" s="4" t="s">
        <v>42</v>
      </c>
      <c r="B22" s="4">
        <v>19.0</v>
      </c>
      <c r="C22" s="4" t="s">
        <v>14</v>
      </c>
      <c r="D22" s="4" t="s">
        <v>30</v>
      </c>
      <c r="E22" s="4" t="s">
        <v>21</v>
      </c>
      <c r="F22" s="4">
        <v>2.0</v>
      </c>
      <c r="G22" s="4">
        <v>1000.0</v>
      </c>
      <c r="H22" s="4">
        <v>40.0</v>
      </c>
      <c r="I22" s="4">
        <v>18.0</v>
      </c>
      <c r="J22" s="4">
        <v>56.0</v>
      </c>
      <c r="K22" s="4">
        <v>3.5</v>
      </c>
      <c r="L22" s="4" t="s">
        <v>17</v>
      </c>
    </row>
    <row r="23" spans="8:8" ht="15.0" customHeight="1">
      <c r="A23" s="4" t="s">
        <v>43</v>
      </c>
      <c r="B23" s="4">
        <v>20.0</v>
      </c>
      <c r="C23" s="4" t="s">
        <v>19</v>
      </c>
      <c r="D23" s="4" t="s">
        <v>15</v>
      </c>
      <c r="E23" s="4" t="s">
        <v>28</v>
      </c>
      <c r="F23" s="4">
        <v>2.0</v>
      </c>
      <c r="G23" s="4">
        <v>240.0</v>
      </c>
      <c r="H23" s="4">
        <v>40.0</v>
      </c>
      <c r="I23" s="4">
        <v>29.0</v>
      </c>
      <c r="J23" s="4">
        <v>34.0</v>
      </c>
      <c r="K23" s="4">
        <v>3.6</v>
      </c>
      <c r="L23" s="4" t="s">
        <v>17</v>
      </c>
    </row>
    <row r="24" spans="8:8" ht="15.0" customHeight="1">
      <c r="A24" s="4" t="s">
        <v>44</v>
      </c>
      <c r="B24" s="4">
        <v>21.0</v>
      </c>
      <c r="C24" s="4" t="s">
        <v>19</v>
      </c>
      <c r="D24" s="4" t="s">
        <v>23</v>
      </c>
      <c r="E24" s="4" t="s">
        <v>16</v>
      </c>
      <c r="F24" s="4">
        <v>2.0</v>
      </c>
      <c r="G24" s="4">
        <v>360.0</v>
      </c>
      <c r="H24" s="4">
        <v>60.0</v>
      </c>
      <c r="I24" s="4">
        <v>7.0</v>
      </c>
      <c r="J24" s="4">
        <v>21.0</v>
      </c>
      <c r="K24" s="4">
        <v>4.2</v>
      </c>
      <c r="L24" s="4" t="s">
        <v>25</v>
      </c>
    </row>
    <row r="25" spans="8:8" ht="15.0" customHeight="1">
      <c r="A25" s="4" t="s">
        <v>45</v>
      </c>
      <c r="B25" s="4">
        <v>22.0</v>
      </c>
      <c r="C25" s="4" t="s">
        <v>19</v>
      </c>
      <c r="D25" s="4" t="s">
        <v>15</v>
      </c>
      <c r="E25" s="4" t="s">
        <v>21</v>
      </c>
      <c r="F25" s="4">
        <v>3.0</v>
      </c>
      <c r="G25" s="4">
        <v>750.0</v>
      </c>
      <c r="H25" s="4">
        <v>60.0</v>
      </c>
      <c r="I25" s="4">
        <v>10.0</v>
      </c>
      <c r="J25" s="4">
        <v>34.0</v>
      </c>
      <c r="K25" s="4">
        <v>3.9</v>
      </c>
      <c r="L25" s="4" t="s">
        <v>25</v>
      </c>
    </row>
    <row r="26" spans="8:8" ht="15.0" customHeight="1">
      <c r="A26" s="4" t="s">
        <v>46</v>
      </c>
      <c r="B26" s="4">
        <v>23.0</v>
      </c>
      <c r="C26" s="4" t="s">
        <v>19</v>
      </c>
      <c r="D26" s="4" t="s">
        <v>30</v>
      </c>
      <c r="E26" s="4" t="s">
        <v>28</v>
      </c>
      <c r="F26" s="4">
        <v>3.0</v>
      </c>
      <c r="G26" s="4">
        <v>540.0</v>
      </c>
      <c r="H26" s="4">
        <v>60.0</v>
      </c>
      <c r="I26" s="4">
        <v>7.0</v>
      </c>
      <c r="J26" s="4">
        <v>16.0</v>
      </c>
      <c r="K26" s="4">
        <v>4.4</v>
      </c>
      <c r="L26" s="4" t="s">
        <v>25</v>
      </c>
    </row>
    <row r="27" spans="8:8" ht="15.0" customHeight="1">
      <c r="A27" s="4" t="s">
        <v>47</v>
      </c>
      <c r="B27" s="4">
        <v>24.0</v>
      </c>
      <c r="C27" s="4" t="s">
        <v>14</v>
      </c>
      <c r="D27" s="4" t="s">
        <v>15</v>
      </c>
      <c r="E27" s="4" t="s">
        <v>16</v>
      </c>
      <c r="F27" s="4">
        <v>3.0</v>
      </c>
      <c r="G27" s="4">
        <v>540.0</v>
      </c>
      <c r="H27" s="4">
        <v>40.0</v>
      </c>
      <c r="I27" s="4">
        <v>11.0</v>
      </c>
      <c r="J27" s="4">
        <v>24.0</v>
      </c>
      <c r="K27" s="4">
        <v>4.3</v>
      </c>
      <c r="L27" s="4" t="s">
        <v>17</v>
      </c>
    </row>
    <row r="28" spans="8:8" ht="15.0" customHeight="1">
      <c r="A28" s="4" t="s">
        <v>48</v>
      </c>
      <c r="B28" s="4">
        <v>25.0</v>
      </c>
      <c r="C28" s="4" t="s">
        <v>19</v>
      </c>
      <c r="D28" s="4" t="s">
        <v>23</v>
      </c>
      <c r="E28" s="4" t="s">
        <v>16</v>
      </c>
      <c r="F28" s="4">
        <v>1.0</v>
      </c>
      <c r="G28" s="4">
        <v>180.0</v>
      </c>
      <c r="H28" s="4">
        <v>50.0</v>
      </c>
      <c r="I28" s="4">
        <v>21.0</v>
      </c>
      <c r="J28" s="4">
        <v>31.0</v>
      </c>
      <c r="K28" s="4">
        <v>4.7</v>
      </c>
      <c r="L28" s="4" t="s">
        <v>17</v>
      </c>
    </row>
    <row r="29" spans="8:8" ht="15.0" customHeight="1">
      <c r="A29" s="4" t="s">
        <v>49</v>
      </c>
      <c r="B29" s="4">
        <v>26.0</v>
      </c>
      <c r="C29" s="4" t="s">
        <v>14</v>
      </c>
      <c r="D29" s="4" t="s">
        <v>15</v>
      </c>
      <c r="E29" s="4" t="s">
        <v>16</v>
      </c>
      <c r="F29" s="4">
        <v>2.0</v>
      </c>
      <c r="G29" s="4">
        <v>500.0</v>
      </c>
      <c r="H29" s="4">
        <v>60.0</v>
      </c>
      <c r="I29" s="4">
        <v>23.0</v>
      </c>
      <c r="J29" s="4">
        <v>48.0</v>
      </c>
      <c r="K29" s="4">
        <v>3.9</v>
      </c>
      <c r="L29" s="4" t="s">
        <v>17</v>
      </c>
    </row>
    <row r="30" spans="8:8" ht="15.0" customHeight="1">
      <c r="A30" s="4" t="s">
        <v>50</v>
      </c>
      <c r="B30" s="4">
        <v>27.0</v>
      </c>
      <c r="C30" s="4" t="s">
        <v>19</v>
      </c>
      <c r="D30" s="4" t="s">
        <v>20</v>
      </c>
      <c r="E30" s="4" t="s">
        <v>28</v>
      </c>
      <c r="F30" s="4">
        <v>4.0</v>
      </c>
      <c r="G30" s="4">
        <v>1400.0</v>
      </c>
      <c r="H30" s="4">
        <v>40.0</v>
      </c>
      <c r="I30" s="4">
        <v>22.0</v>
      </c>
      <c r="J30" s="4">
        <v>15.0</v>
      </c>
      <c r="K30" s="4">
        <v>4.1</v>
      </c>
      <c r="L30" s="4" t="s">
        <v>17</v>
      </c>
    </row>
    <row r="31" spans="8:8" ht="15.0" customHeight="1">
      <c r="A31" s="4" t="s">
        <v>51</v>
      </c>
      <c r="B31" s="4">
        <v>28.0</v>
      </c>
      <c r="C31" s="4" t="s">
        <v>19</v>
      </c>
      <c r="D31" s="4" t="s">
        <v>23</v>
      </c>
      <c r="E31" s="4" t="s">
        <v>21</v>
      </c>
      <c r="F31" s="4">
        <v>1.0</v>
      </c>
      <c r="G31" s="4">
        <v>500.0</v>
      </c>
      <c r="H31" s="4">
        <v>60.0</v>
      </c>
      <c r="I31" s="4">
        <v>27.0</v>
      </c>
      <c r="J31" s="4">
        <v>24.0</v>
      </c>
      <c r="K31" s="4">
        <v>4.3</v>
      </c>
      <c r="L31" s="4" t="s">
        <v>17</v>
      </c>
    </row>
    <row r="32" spans="8:8" ht="15.0" customHeight="1">
      <c r="A32" s="4" t="s">
        <v>52</v>
      </c>
      <c r="B32" s="4">
        <v>29.0</v>
      </c>
      <c r="C32" s="4" t="s">
        <v>19</v>
      </c>
      <c r="D32" s="4" t="s">
        <v>20</v>
      </c>
      <c r="E32" s="4" t="s">
        <v>16</v>
      </c>
      <c r="F32" s="4">
        <v>5.0</v>
      </c>
      <c r="G32" s="4">
        <v>1750.0</v>
      </c>
      <c r="H32" s="4">
        <v>50.0</v>
      </c>
      <c r="I32" s="4">
        <v>21.0</v>
      </c>
      <c r="J32" s="4">
        <v>18.0</v>
      </c>
      <c r="K32" s="4">
        <v>4.6</v>
      </c>
      <c r="L32" s="4" t="s">
        <v>17</v>
      </c>
    </row>
    <row r="33" spans="8:8" ht="15.0" customHeight="1">
      <c r="A33" s="4" t="s">
        <v>53</v>
      </c>
      <c r="B33" s="4">
        <v>30.0</v>
      </c>
      <c r="C33" s="4" t="s">
        <v>19</v>
      </c>
      <c r="D33" s="4" t="s">
        <v>30</v>
      </c>
      <c r="E33" s="4" t="s">
        <v>21</v>
      </c>
      <c r="F33" s="4">
        <v>4.0</v>
      </c>
      <c r="G33" s="4">
        <v>720.0</v>
      </c>
      <c r="H33" s="4">
        <v>30.0</v>
      </c>
      <c r="I33" s="4">
        <v>16.0</v>
      </c>
      <c r="J33" s="4">
        <v>32.0</v>
      </c>
      <c r="K33" s="4">
        <v>4.3</v>
      </c>
      <c r="L33" s="4" t="s">
        <v>25</v>
      </c>
    </row>
    <row r="34" spans="8:8" ht="15.0" customHeight="1">
      <c r="A34" s="4" t="s">
        <v>54</v>
      </c>
      <c r="B34" s="4">
        <v>31.0</v>
      </c>
      <c r="C34" s="4" t="s">
        <v>14</v>
      </c>
      <c r="D34" s="4" t="s">
        <v>30</v>
      </c>
      <c r="E34" s="4" t="s">
        <v>16</v>
      </c>
      <c r="F34" s="4">
        <v>3.0</v>
      </c>
      <c r="G34" s="4">
        <v>1500.0</v>
      </c>
      <c r="H34" s="4">
        <v>60.0</v>
      </c>
      <c r="I34" s="4">
        <v>14.0</v>
      </c>
      <c r="J34" s="4">
        <v>57.0</v>
      </c>
      <c r="K34" s="4">
        <v>3.9</v>
      </c>
      <c r="L34" s="4" t="s">
        <v>17</v>
      </c>
    </row>
    <row r="35" spans="8:8" ht="15.0" customHeight="1">
      <c r="A35" s="4" t="s">
        <v>55</v>
      </c>
      <c r="B35" s="4">
        <v>32.0</v>
      </c>
      <c r="C35" s="4" t="s">
        <v>19</v>
      </c>
      <c r="D35" s="4" t="s">
        <v>15</v>
      </c>
      <c r="E35" s="4" t="s">
        <v>16</v>
      </c>
      <c r="F35" s="4">
        <v>3.0</v>
      </c>
      <c r="G35" s="4">
        <v>1050.0</v>
      </c>
      <c r="H35" s="4">
        <v>60.0</v>
      </c>
      <c r="I35" s="4">
        <v>17.0</v>
      </c>
      <c r="J35" s="4">
        <v>35.0</v>
      </c>
      <c r="K35" s="4">
        <v>3.9</v>
      </c>
      <c r="L35" s="4" t="s">
        <v>17</v>
      </c>
    </row>
    <row r="36" spans="8:8" ht="15.0" customHeight="1">
      <c r="A36" s="4" t="s">
        <v>56</v>
      </c>
      <c r="B36" s="4">
        <v>33.0</v>
      </c>
      <c r="C36" s="4" t="s">
        <v>19</v>
      </c>
      <c r="D36" s="4" t="s">
        <v>23</v>
      </c>
      <c r="E36" s="4" t="s">
        <v>28</v>
      </c>
      <c r="F36" s="4">
        <v>5.0</v>
      </c>
      <c r="G36" s="4">
        <v>900.0</v>
      </c>
      <c r="H36" s="4">
        <v>40.0</v>
      </c>
      <c r="I36" s="4">
        <v>22.0</v>
      </c>
      <c r="J36" s="4">
        <v>38.0</v>
      </c>
      <c r="K36" s="4">
        <v>4.1</v>
      </c>
      <c r="L36" s="4" t="s">
        <v>17</v>
      </c>
    </row>
    <row r="37" spans="8:8" ht="15.0" customHeight="1">
      <c r="A37" s="4" t="s">
        <v>57</v>
      </c>
      <c r="B37" s="4">
        <v>34.0</v>
      </c>
      <c r="C37" s="4" t="s">
        <v>19</v>
      </c>
      <c r="D37" s="4" t="s">
        <v>23</v>
      </c>
      <c r="E37" s="4" t="s">
        <v>16</v>
      </c>
      <c r="F37" s="4">
        <v>1.0</v>
      </c>
      <c r="G37" s="4">
        <v>250.0</v>
      </c>
      <c r="H37" s="4">
        <v>40.0</v>
      </c>
      <c r="I37" s="4">
        <v>23.0</v>
      </c>
      <c r="J37" s="4">
        <v>50.0</v>
      </c>
      <c r="K37" s="4">
        <v>3.9</v>
      </c>
      <c r="L37" s="4" t="s">
        <v>25</v>
      </c>
    </row>
    <row r="38" spans="8:8" ht="15.0" customHeight="1">
      <c r="A38" s="4" t="s">
        <v>58</v>
      </c>
      <c r="B38" s="4">
        <v>35.0</v>
      </c>
      <c r="C38" s="4" t="s">
        <v>19</v>
      </c>
      <c r="D38" s="4" t="s">
        <v>30</v>
      </c>
      <c r="E38" s="4" t="s">
        <v>16</v>
      </c>
      <c r="F38" s="4">
        <v>1.0</v>
      </c>
      <c r="G38" s="4">
        <v>120.0</v>
      </c>
      <c r="H38" s="4">
        <v>50.0</v>
      </c>
      <c r="I38" s="4">
        <v>28.0</v>
      </c>
      <c r="J38" s="4">
        <v>45.0</v>
      </c>
      <c r="K38" s="4">
        <v>4.4</v>
      </c>
      <c r="L38" s="4" t="s">
        <v>25</v>
      </c>
    </row>
    <row r="39" spans="8:8" ht="15.0" customHeight="1">
      <c r="A39" s="4" t="s">
        <v>59</v>
      </c>
      <c r="B39" s="4">
        <v>36.0</v>
      </c>
      <c r="C39" s="4" t="s">
        <v>19</v>
      </c>
      <c r="D39" s="4" t="s">
        <v>20</v>
      </c>
      <c r="E39" s="4" t="s">
        <v>21</v>
      </c>
      <c r="F39" s="4">
        <v>2.0</v>
      </c>
      <c r="G39" s="4">
        <v>1000.0</v>
      </c>
      <c r="H39" s="4">
        <v>30.0</v>
      </c>
      <c r="I39" s="4">
        <v>7.0</v>
      </c>
      <c r="J39" s="4">
        <v>39.0</v>
      </c>
      <c r="K39" s="4">
        <v>3.9</v>
      </c>
      <c r="L39" s="4" t="s">
        <v>17</v>
      </c>
    </row>
    <row r="40" spans="8:8" ht="15.0" customHeight="1">
      <c r="A40" s="4" t="s">
        <v>60</v>
      </c>
      <c r="B40" s="4">
        <v>37.0</v>
      </c>
      <c r="C40" s="4" t="s">
        <v>14</v>
      </c>
      <c r="D40" s="4" t="s">
        <v>23</v>
      </c>
      <c r="E40" s="4" t="s">
        <v>16</v>
      </c>
      <c r="F40" s="4">
        <v>3.0</v>
      </c>
      <c r="G40" s="4">
        <v>360.0</v>
      </c>
      <c r="H40" s="4">
        <v>50.0</v>
      </c>
      <c r="I40" s="4">
        <v>21.0</v>
      </c>
      <c r="J40" s="4">
        <v>15.0</v>
      </c>
      <c r="K40" s="4">
        <v>4.4</v>
      </c>
      <c r="L40" s="4" t="s">
        <v>17</v>
      </c>
    </row>
    <row r="41" spans="8:8" ht="15.0" customHeight="1">
      <c r="A41" s="4" t="s">
        <v>61</v>
      </c>
      <c r="B41" s="4">
        <v>38.0</v>
      </c>
      <c r="C41" s="4" t="s">
        <v>14</v>
      </c>
      <c r="D41" s="4" t="s">
        <v>20</v>
      </c>
      <c r="E41" s="4" t="s">
        <v>21</v>
      </c>
      <c r="F41" s="4">
        <v>2.0</v>
      </c>
      <c r="G41" s="4">
        <v>360.0</v>
      </c>
      <c r="H41" s="4">
        <v>50.0</v>
      </c>
      <c r="I41" s="4">
        <v>19.0</v>
      </c>
      <c r="J41" s="4">
        <v>59.0</v>
      </c>
      <c r="K41" s="4">
        <v>3.6</v>
      </c>
      <c r="L41" s="4" t="s">
        <v>25</v>
      </c>
    </row>
    <row r="42" spans="8:8" ht="15.0" customHeight="1">
      <c r="A42" s="4" t="s">
        <v>62</v>
      </c>
      <c r="B42" s="4">
        <v>39.0</v>
      </c>
      <c r="C42" s="4" t="s">
        <v>14</v>
      </c>
      <c r="D42" s="4" t="s">
        <v>30</v>
      </c>
      <c r="E42" s="4" t="s">
        <v>16</v>
      </c>
      <c r="F42" s="4">
        <v>3.0</v>
      </c>
      <c r="G42" s="4">
        <v>750.0</v>
      </c>
      <c r="H42" s="4">
        <v>40.0</v>
      </c>
      <c r="I42" s="4">
        <v>24.0</v>
      </c>
      <c r="J42" s="4">
        <v>36.0</v>
      </c>
      <c r="K42" s="4">
        <v>4.3</v>
      </c>
      <c r="L42" s="4" t="s">
        <v>17</v>
      </c>
    </row>
    <row r="43" spans="8:8" ht="15.0" customHeight="1">
      <c r="A43" s="4" t="s">
        <v>63</v>
      </c>
      <c r="B43" s="4">
        <v>40.0</v>
      </c>
      <c r="C43" s="4" t="s">
        <v>19</v>
      </c>
      <c r="D43" s="4" t="s">
        <v>30</v>
      </c>
      <c r="E43" s="4" t="s">
        <v>21</v>
      </c>
      <c r="F43" s="4">
        <v>1.0</v>
      </c>
      <c r="G43" s="4">
        <v>350.0</v>
      </c>
      <c r="H43" s="4">
        <v>60.0</v>
      </c>
      <c r="I43" s="4">
        <v>23.0</v>
      </c>
      <c r="J43" s="4">
        <v>19.0</v>
      </c>
      <c r="K43" s="4">
        <v>4.9</v>
      </c>
      <c r="L43" s="4" t="s">
        <v>17</v>
      </c>
    </row>
    <row r="44" spans="8:8" ht="15.0" customHeight="1">
      <c r="A44" s="4" t="s">
        <v>64</v>
      </c>
      <c r="B44" s="4">
        <v>41.0</v>
      </c>
      <c r="C44" s="4" t="s">
        <v>14</v>
      </c>
      <c r="D44" s="4" t="s">
        <v>15</v>
      </c>
      <c r="E44" s="4" t="s">
        <v>21</v>
      </c>
      <c r="F44" s="4">
        <v>1.0</v>
      </c>
      <c r="G44" s="4">
        <v>350.0</v>
      </c>
      <c r="H44" s="4">
        <v>40.0</v>
      </c>
      <c r="I44" s="4">
        <v>27.0</v>
      </c>
      <c r="J44" s="4">
        <v>53.0</v>
      </c>
      <c r="K44" s="4">
        <v>3.6</v>
      </c>
      <c r="L44" s="4" t="s">
        <v>25</v>
      </c>
    </row>
    <row r="45" spans="8:8" ht="15.0" customHeight="1">
      <c r="A45" s="4" t="s">
        <v>65</v>
      </c>
      <c r="B45" s="4">
        <v>42.0</v>
      </c>
      <c r="C45" s="4" t="s">
        <v>19</v>
      </c>
      <c r="D45" s="4" t="s">
        <v>23</v>
      </c>
      <c r="E45" s="4" t="s">
        <v>28</v>
      </c>
      <c r="F45" s="4">
        <v>3.0</v>
      </c>
      <c r="G45" s="4">
        <v>360.0</v>
      </c>
      <c r="H45" s="4">
        <v>30.0</v>
      </c>
      <c r="I45" s="4">
        <v>15.0</v>
      </c>
      <c r="J45" s="4">
        <v>41.0</v>
      </c>
      <c r="K45" s="4">
        <v>4.0</v>
      </c>
      <c r="L45" s="4" t="s">
        <v>17</v>
      </c>
    </row>
    <row r="46" spans="8:8" ht="15.0" customHeight="1">
      <c r="A46" s="4" t="s">
        <v>66</v>
      </c>
      <c r="B46" s="4">
        <v>43.0</v>
      </c>
      <c r="C46" s="4" t="s">
        <v>14</v>
      </c>
      <c r="D46" s="4" t="s">
        <v>23</v>
      </c>
      <c r="E46" s="4" t="s">
        <v>21</v>
      </c>
      <c r="F46" s="4">
        <v>5.0</v>
      </c>
      <c r="G46" s="4">
        <v>2500.0</v>
      </c>
      <c r="H46" s="4">
        <v>40.0</v>
      </c>
      <c r="I46" s="4">
        <v>16.0</v>
      </c>
      <c r="J46" s="4">
        <v>31.0</v>
      </c>
      <c r="K46" s="4">
        <v>3.9</v>
      </c>
      <c r="L46" s="4" t="s">
        <v>25</v>
      </c>
    </row>
    <row r="47" spans="8:8" ht="15.0" customHeight="1">
      <c r="A47" s="4" t="s">
        <v>67</v>
      </c>
      <c r="B47" s="4">
        <v>44.0</v>
      </c>
      <c r="C47" s="4" t="s">
        <v>14</v>
      </c>
      <c r="D47" s="4" t="s">
        <v>15</v>
      </c>
      <c r="E47" s="4" t="s">
        <v>28</v>
      </c>
      <c r="F47" s="4">
        <v>4.0</v>
      </c>
      <c r="G47" s="4">
        <v>2000.0</v>
      </c>
      <c r="H47" s="4">
        <v>60.0</v>
      </c>
      <c r="I47" s="4">
        <v>10.0</v>
      </c>
      <c r="J47" s="4">
        <v>50.0</v>
      </c>
      <c r="K47" s="4">
        <v>3.8</v>
      </c>
      <c r="L47" s="4" t="s">
        <v>25</v>
      </c>
    </row>
    <row r="48" spans="8:8" ht="15.0" customHeight="1">
      <c r="A48" s="4" t="s">
        <v>68</v>
      </c>
      <c r="B48" s="4">
        <v>45.0</v>
      </c>
      <c r="C48" s="4" t="s">
        <v>19</v>
      </c>
      <c r="D48" s="4" t="s">
        <v>20</v>
      </c>
      <c r="E48" s="4" t="s">
        <v>21</v>
      </c>
      <c r="F48" s="4">
        <v>3.0</v>
      </c>
      <c r="G48" s="4">
        <v>540.0</v>
      </c>
      <c r="H48" s="4">
        <v>40.0</v>
      </c>
      <c r="I48" s="4">
        <v>19.0</v>
      </c>
      <c r="J48" s="4">
        <v>15.0</v>
      </c>
      <c r="K48" s="4">
        <v>4.9</v>
      </c>
      <c r="L48" s="4" t="s">
        <v>17</v>
      </c>
    </row>
    <row r="49" spans="8:8" ht="15.0" customHeight="1">
      <c r="A49" s="4" t="s">
        <v>69</v>
      </c>
      <c r="B49" s="4">
        <v>46.0</v>
      </c>
      <c r="C49" s="4" t="s">
        <v>19</v>
      </c>
      <c r="D49" s="4" t="s">
        <v>23</v>
      </c>
      <c r="E49" s="4" t="s">
        <v>28</v>
      </c>
      <c r="F49" s="4">
        <v>5.0</v>
      </c>
      <c r="G49" s="4">
        <v>900.0</v>
      </c>
      <c r="H49" s="4">
        <v>50.0</v>
      </c>
      <c r="I49" s="4">
        <v>17.0</v>
      </c>
      <c r="J49" s="4">
        <v>15.0</v>
      </c>
      <c r="K49" s="4">
        <v>4.7</v>
      </c>
      <c r="L49" s="4" t="s">
        <v>17</v>
      </c>
    </row>
    <row r="50" spans="8:8" ht="15.0" customHeight="1">
      <c r="A50" s="4" t="s">
        <v>70</v>
      </c>
      <c r="B50" s="4">
        <v>47.0</v>
      </c>
      <c r="C50" s="4" t="s">
        <v>19</v>
      </c>
      <c r="D50" s="4" t="s">
        <v>23</v>
      </c>
      <c r="E50" s="4" t="s">
        <v>21</v>
      </c>
      <c r="F50" s="4">
        <v>2.0</v>
      </c>
      <c r="G50" s="4">
        <v>360.0</v>
      </c>
      <c r="H50" s="4">
        <v>40.0</v>
      </c>
      <c r="I50" s="4">
        <v>10.0</v>
      </c>
      <c r="J50" s="4">
        <v>39.0</v>
      </c>
      <c r="K50" s="4">
        <v>4.2</v>
      </c>
      <c r="L50" s="4" t="s">
        <v>17</v>
      </c>
    </row>
    <row r="51" spans="8:8" ht="15.0" customHeight="1">
      <c r="A51" s="4" t="s">
        <v>71</v>
      </c>
      <c r="B51" s="4">
        <v>48.0</v>
      </c>
      <c r="C51" s="4" t="s">
        <v>14</v>
      </c>
      <c r="D51" s="4" t="s">
        <v>30</v>
      </c>
      <c r="E51" s="4" t="s">
        <v>16</v>
      </c>
      <c r="F51" s="4">
        <v>5.0</v>
      </c>
      <c r="G51" s="4">
        <v>600.0</v>
      </c>
      <c r="H51" s="4">
        <v>30.0</v>
      </c>
      <c r="I51" s="4">
        <v>27.0</v>
      </c>
      <c r="J51" s="4">
        <v>39.0</v>
      </c>
      <c r="K51" s="4">
        <v>3.9</v>
      </c>
      <c r="L51" s="4" t="s">
        <v>17</v>
      </c>
    </row>
    <row r="52" spans="8:8" ht="15.0" customHeight="1">
      <c r="A52" s="4" t="s">
        <v>72</v>
      </c>
      <c r="B52" s="4">
        <v>49.0</v>
      </c>
      <c r="C52" s="4" t="s">
        <v>19</v>
      </c>
      <c r="D52" s="4" t="s">
        <v>15</v>
      </c>
      <c r="E52" s="4" t="s">
        <v>28</v>
      </c>
      <c r="F52" s="4">
        <v>1.0</v>
      </c>
      <c r="G52" s="4">
        <v>500.0</v>
      </c>
      <c r="H52" s="4">
        <v>50.0</v>
      </c>
      <c r="I52" s="4">
        <v>12.0</v>
      </c>
      <c r="J52" s="4">
        <v>51.0</v>
      </c>
      <c r="K52" s="4">
        <v>3.5</v>
      </c>
      <c r="L52" s="4" t="s">
        <v>25</v>
      </c>
    </row>
    <row r="53" spans="8:8" ht="15.0" customHeight="1">
      <c r="A53" s="4" t="s">
        <v>73</v>
      </c>
      <c r="B53" s="4">
        <v>50.0</v>
      </c>
      <c r="C53" s="4" t="s">
        <v>19</v>
      </c>
      <c r="D53" s="4" t="s">
        <v>30</v>
      </c>
      <c r="E53" s="4" t="s">
        <v>28</v>
      </c>
      <c r="F53" s="4">
        <v>1.0</v>
      </c>
      <c r="G53" s="4">
        <v>180.0</v>
      </c>
      <c r="H53" s="4">
        <v>30.0</v>
      </c>
      <c r="I53" s="4">
        <v>7.0</v>
      </c>
      <c r="J53" s="4">
        <v>22.0</v>
      </c>
      <c r="K53" s="4">
        <v>4.9</v>
      </c>
      <c r="L53" s="4" t="s">
        <v>25</v>
      </c>
    </row>
  </sheetData>
  <mergeCells count="1">
    <mergeCell ref="A1:L1"/>
  </mergeCells>
  <pageMargins left="0.75" right="0.75" top="1.0" bottom="1.0" header="0.511811023622047" footer="0.511811023622047"/>
</worksheet>
</file>

<file path=xl/worksheets/sheet2.xml><?xml version="1.0" encoding="utf-8"?>
<worksheet xmlns:r="http://schemas.openxmlformats.org/officeDocument/2006/relationships" xmlns="http://schemas.openxmlformats.org/spreadsheetml/2006/main">
  <dimension ref="A1:J15"/>
  <sheetViews>
    <sheetView workbookViewId="0" topLeftCell="T1" zoomScale="90">
      <selection activeCell="A1" sqref="A1:C1"/>
    </sheetView>
  </sheetViews>
  <sheetFormatPr defaultRowHeight="15.0" defaultColWidth="10" zeroHeight="1"/>
  <cols>
    <col min="1" max="1" customWidth="1" width="16.0" style="1"/>
    <col min="2" max="3" customWidth="1" width="46.0" style="1"/>
  </cols>
  <sheetData>
    <row r="1" spans="8:8" ht="24.0" customHeight="1">
      <c r="A1" s="2" t="s">
        <v>74</v>
      </c>
      <c r="B1" s="2"/>
      <c r="C1" s="2"/>
    </row>
    <row r="3" spans="8:8" ht="15.0" customHeight="1">
      <c r="A3" s="3" t="s">
        <v>75</v>
      </c>
      <c r="B3" s="3" t="s">
        <v>76</v>
      </c>
      <c r="C3" s="3" t="s">
        <v>77</v>
      </c>
    </row>
    <row r="4" spans="8:8" ht="27.75" customHeight="1">
      <c r="A4" s="5" t="s">
        <v>1</v>
      </c>
      <c r="B4" s="5" t="s">
        <v>78</v>
      </c>
      <c r="C4" s="5" t="s">
        <v>79</v>
      </c>
    </row>
    <row r="5" spans="8:8" ht="27.75" customHeight="1">
      <c r="A5" s="5" t="s">
        <v>2</v>
      </c>
      <c r="B5" s="5" t="s">
        <v>80</v>
      </c>
      <c r="C5" s="5" t="s">
        <v>81</v>
      </c>
    </row>
    <row r="6" spans="8:8" ht="27.75" customHeight="1">
      <c r="A6" s="5" t="s">
        <v>3</v>
      </c>
      <c r="B6" s="5" t="s">
        <v>82</v>
      </c>
      <c r="C6" s="5" t="s">
        <v>83</v>
      </c>
    </row>
    <row r="7" spans="8:8" ht="27.75" customHeight="1">
      <c r="A7" s="5" t="s">
        <v>4</v>
      </c>
      <c r="B7" s="5" t="s">
        <v>84</v>
      </c>
      <c r="C7" s="5" t="s">
        <v>85</v>
      </c>
    </row>
    <row r="8" spans="8:8" ht="27.75" customHeight="1">
      <c r="A8" s="5" t="s">
        <v>5</v>
      </c>
      <c r="B8" s="5" t="s">
        <v>86</v>
      </c>
      <c r="C8" s="5" t="s">
        <v>87</v>
      </c>
    </row>
    <row r="9" spans="8:8" ht="27.75" customHeight="1">
      <c r="A9" s="5" t="s">
        <v>6</v>
      </c>
      <c r="B9" s="5" t="s">
        <v>88</v>
      </c>
      <c r="C9" s="5" t="s">
        <v>89</v>
      </c>
    </row>
    <row r="10" spans="8:8" ht="27.75" customHeight="1">
      <c r="A10" s="5" t="s">
        <v>7</v>
      </c>
      <c r="B10" s="5" t="s">
        <v>90</v>
      </c>
      <c r="C10" s="5" t="s">
        <v>91</v>
      </c>
    </row>
    <row r="11" spans="8:8" ht="27.75" customHeight="1">
      <c r="A11" s="5" t="s">
        <v>8</v>
      </c>
      <c r="B11" s="5" t="s">
        <v>92</v>
      </c>
      <c r="C11" s="5" t="s">
        <v>93</v>
      </c>
    </row>
    <row r="12" spans="8:8" ht="27.75" customHeight="1">
      <c r="A12" s="5" t="s">
        <v>9</v>
      </c>
      <c r="B12" s="5" t="s">
        <v>94</v>
      </c>
      <c r="C12" s="5" t="s">
        <v>95</v>
      </c>
    </row>
    <row r="13" spans="8:8" ht="27.75" customHeight="1">
      <c r="A13" s="5" t="s">
        <v>10</v>
      </c>
      <c r="B13" s="5" t="s">
        <v>96</v>
      </c>
      <c r="C13" s="5" t="s">
        <v>97</v>
      </c>
    </row>
    <row r="14" spans="8:8" ht="27.75" customHeight="1">
      <c r="A14" s="5" t="s">
        <v>11</v>
      </c>
      <c r="B14" s="5" t="s">
        <v>98</v>
      </c>
      <c r="C14" s="5" t="s">
        <v>99</v>
      </c>
    </row>
    <row r="15" spans="8:8" ht="27.75" customHeight="1">
      <c r="A15" s="5" t="s">
        <v>12</v>
      </c>
      <c r="B15" s="5" t="s">
        <v>100</v>
      </c>
      <c r="C15" s="5" t="s">
        <v>101</v>
      </c>
    </row>
  </sheetData>
  <mergeCells count="1">
    <mergeCell ref="A1:C1"/>
  </mergeCells>
  <pageMargins left="0.75" right="0.75" top="1.0" bottom="1.0" header="0.511811023622047" footer="0.511811023622047"/>
</worksheet>
</file>

<file path=xl/worksheets/sheet3.xml><?xml version="1.0" encoding="utf-8"?>
<worksheet xmlns:r="http://schemas.openxmlformats.org/officeDocument/2006/relationships" xmlns="http://schemas.openxmlformats.org/spreadsheetml/2006/main">
  <dimension ref="A1:S61"/>
  <sheetViews>
    <sheetView workbookViewId="0" zoomScale="30">
      <pane ySplit="11" topLeftCell="A12" state="frozen" activePane="bottomLeft"/>
      <selection pane="bottomLeft" activeCell="N31" sqref="N31"/>
    </sheetView>
  </sheetViews>
  <sheetFormatPr defaultRowHeight="15.0" defaultColWidth="10" zeroHeight="1"/>
  <cols>
    <col min="1" max="1" customWidth="1" width="11.0" style="1"/>
    <col min="2" max="2" customWidth="1" width="6.0" style="1"/>
    <col min="3" max="3" customWidth="1" width="13.0" style="1"/>
    <col min="4" max="4" customWidth="1" width="10.0" style="1"/>
    <col min="5" max="5" customWidth="1" width="11.0" style="1"/>
    <col min="6" max="6" customWidth="1" width="7.0" style="1"/>
    <col min="7" max="9" customWidth="1" width="12.0" style="1"/>
    <col min="10" max="10" customWidth="1" width="15.0" style="1"/>
    <col min="11" max="11" customWidth="1" width="8.0" style="1"/>
    <col min="12" max="12" customWidth="1" width="11.0" style="1"/>
  </cols>
  <sheetData>
    <row r="1" spans="8:8" ht="24.0" customHeight="1">
      <c r="A1" s="2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8:8" ht="15.0" customHeight="1">
      <c r="A3" s="6" t="s">
        <v>103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8:8" ht="15.0" customHeight="1">
      <c r="A4" s="7" t="s">
        <v>104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8:8" ht="15.0" customHeight="1">
      <c r="A5" s="7" t="s">
        <v>105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8:8" ht="15.0" customHeight="1">
      <c r="A6" s="7" t="s">
        <v>106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8:8" ht="15.0" customHeight="1">
      <c r="A7" s="7" t="s">
        <v>107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8:8" ht="15.0" customHeight="1">
      <c r="A8" s="7" t="s">
        <v>108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10" spans="8:8" ht="15.0" customHeight="1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</row>
    <row r="11" spans="8:8" ht="15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8:8" ht="15.0" customHeight="1">
      <c r="A12" s="4" t="s">
        <v>13</v>
      </c>
      <c r="B12" s="4">
        <v>1.0</v>
      </c>
      <c r="C12" s="4" t="s">
        <v>14</v>
      </c>
      <c r="D12" s="4" t="s">
        <v>15</v>
      </c>
      <c r="E12" s="4" t="s">
        <v>16</v>
      </c>
      <c r="F12" s="4">
        <v>1.0</v>
      </c>
      <c r="G12" s="4">
        <v>180.0</v>
      </c>
      <c r="H12" s="4">
        <v>50.0</v>
      </c>
      <c r="I12" s="4">
        <v>16.0</v>
      </c>
      <c r="J12" s="4">
        <v>36.0</v>
      </c>
      <c r="K12" s="4">
        <v>4.1</v>
      </c>
      <c r="L12" s="4" t="s">
        <v>17</v>
      </c>
    </row>
    <row r="13" spans="8:8" ht="15.0" customHeight="1">
      <c r="A13" s="4" t="s">
        <v>18</v>
      </c>
      <c r="B13" s="4">
        <v>2.0</v>
      </c>
      <c r="C13" s="4" t="s">
        <v>19</v>
      </c>
      <c r="D13" s="4" t="s">
        <v>20</v>
      </c>
      <c r="E13" s="4" t="s">
        <v>21</v>
      </c>
      <c r="F13" s="4">
        <v>3.0</v>
      </c>
      <c r="G13" s="4">
        <v>360.0</v>
      </c>
      <c r="H13" s="4">
        <v>30.0</v>
      </c>
      <c r="I13" s="4">
        <v>13.0</v>
      </c>
      <c r="J13" s="4">
        <v>25.0</v>
      </c>
      <c r="K13" s="4">
        <v>3.7</v>
      </c>
      <c r="L13" s="4" t="s">
        <v>17</v>
      </c>
    </row>
    <row r="14" spans="8:8" ht="15.0" customHeight="1">
      <c r="A14" s="4" t="s">
        <v>22</v>
      </c>
      <c r="B14" s="4">
        <v>3.0</v>
      </c>
      <c r="C14" s="4" t="s">
        <v>14</v>
      </c>
      <c r="D14" s="4" t="s">
        <v>23</v>
      </c>
      <c r="E14" s="4" t="s">
        <v>16</v>
      </c>
      <c r="F14" s="4">
        <v>1.0</v>
      </c>
      <c r="G14" s="4">
        <v>120.0</v>
      </c>
      <c r="H14" s="4">
        <v>60.0</v>
      </c>
      <c r="I14" s="4">
        <v>24.0</v>
      </c>
      <c r="J14" s="4">
        <v>23.0</v>
      </c>
      <c r="K14" s="4">
        <v>4.7</v>
      </c>
      <c r="L14" s="4" t="s">
        <v>17</v>
      </c>
    </row>
    <row r="15" spans="8:8" ht="15.0" customHeight="1">
      <c r="A15" s="4" t="s">
        <v>24</v>
      </c>
      <c r="B15" s="4">
        <v>4.0</v>
      </c>
      <c r="C15" s="4" t="s">
        <v>19</v>
      </c>
      <c r="D15" s="4" t="s">
        <v>20</v>
      </c>
      <c r="E15" s="4" t="s">
        <v>21</v>
      </c>
      <c r="F15" s="4">
        <v>1.0</v>
      </c>
      <c r="G15" s="4">
        <v>120.0</v>
      </c>
      <c r="H15" s="4">
        <v>50.0</v>
      </c>
      <c r="I15" s="4">
        <v>28.0</v>
      </c>
      <c r="J15" s="4">
        <v>53.0</v>
      </c>
      <c r="K15" s="4">
        <v>4.0</v>
      </c>
      <c r="L15" s="4" t="s">
        <v>25</v>
      </c>
    </row>
    <row r="16" spans="8:8" ht="15.0" customHeight="1">
      <c r="A16" s="4" t="s">
        <v>26</v>
      </c>
      <c r="B16" s="4">
        <v>5.0</v>
      </c>
      <c r="C16" s="4" t="s">
        <v>19</v>
      </c>
      <c r="D16" s="4" t="s">
        <v>20</v>
      </c>
      <c r="E16" s="4" t="s">
        <v>21</v>
      </c>
      <c r="F16" s="4">
        <v>3.0</v>
      </c>
      <c r="G16" s="4">
        <v>360.0</v>
      </c>
      <c r="H16" s="4">
        <v>30.0</v>
      </c>
      <c r="I16" s="4">
        <v>19.0</v>
      </c>
      <c r="J16" s="4">
        <v>41.0</v>
      </c>
      <c r="K16" s="4">
        <v>3.7</v>
      </c>
      <c r="L16" s="4" t="s">
        <v>17</v>
      </c>
    </row>
    <row r="17" spans="8:8" ht="15.0" customHeight="1">
      <c r="A17" s="4" t="s">
        <v>27</v>
      </c>
      <c r="B17" s="4">
        <v>6.0</v>
      </c>
      <c r="C17" s="4" t="s">
        <v>14</v>
      </c>
      <c r="D17" s="4" t="s">
        <v>23</v>
      </c>
      <c r="E17" s="4" t="s">
        <v>28</v>
      </c>
      <c r="F17" s="4">
        <v>2.0</v>
      </c>
      <c r="G17" s="4">
        <v>500.0</v>
      </c>
      <c r="H17" s="4">
        <v>60.0</v>
      </c>
      <c r="I17" s="4">
        <v>16.0</v>
      </c>
      <c r="J17" s="4">
        <v>45.0</v>
      </c>
      <c r="K17" s="4">
        <v>4.2</v>
      </c>
      <c r="L17" s="4" t="s">
        <v>25</v>
      </c>
    </row>
    <row r="18" spans="8:8" ht="15.0" customHeight="1">
      <c r="A18" s="4" t="s">
        <v>29</v>
      </c>
      <c r="B18" s="4">
        <v>7.0</v>
      </c>
      <c r="C18" s="4" t="s">
        <v>19</v>
      </c>
      <c r="D18" s="4" t="s">
        <v>30</v>
      </c>
      <c r="E18" s="4" t="s">
        <v>16</v>
      </c>
      <c r="F18" s="4">
        <v>2.0</v>
      </c>
      <c r="G18" s="4">
        <v>500.0</v>
      </c>
      <c r="H18" s="4">
        <v>40.0</v>
      </c>
      <c r="I18" s="4">
        <v>17.0</v>
      </c>
      <c r="J18" s="4">
        <v>31.0</v>
      </c>
      <c r="K18" s="4">
        <v>4.5</v>
      </c>
      <c r="L18" s="4" t="s">
        <v>25</v>
      </c>
    </row>
    <row r="19" spans="8:8" ht="15.0" customHeight="1">
      <c r="A19" s="4" t="s">
        <v>31</v>
      </c>
      <c r="B19" s="4">
        <v>8.0</v>
      </c>
      <c r="C19" s="4" t="s">
        <v>19</v>
      </c>
      <c r="D19" s="4" t="s">
        <v>15</v>
      </c>
      <c r="E19" s="4" t="s">
        <v>21</v>
      </c>
      <c r="F19" s="4">
        <v>4.0</v>
      </c>
      <c r="G19" s="4">
        <v>480.0</v>
      </c>
      <c r="H19" s="4">
        <v>30.0</v>
      </c>
      <c r="I19" s="4">
        <v>9.0</v>
      </c>
      <c r="J19" s="4">
        <v>35.0</v>
      </c>
      <c r="K19" s="4">
        <v>3.9</v>
      </c>
      <c r="L19" s="4" t="s">
        <v>17</v>
      </c>
    </row>
    <row r="20" spans="8:8" ht="15.0" customHeight="1">
      <c r="A20" s="4" t="s">
        <v>32</v>
      </c>
      <c r="B20" s="4">
        <v>9.0</v>
      </c>
      <c r="C20" s="4" t="s">
        <v>14</v>
      </c>
      <c r="D20" s="4" t="s">
        <v>30</v>
      </c>
      <c r="E20" s="4" t="s">
        <v>16</v>
      </c>
      <c r="F20" s="4">
        <v>4.0</v>
      </c>
      <c r="G20" s="4">
        <v>1000.0</v>
      </c>
      <c r="H20" s="4">
        <v>30.0</v>
      </c>
      <c r="I20" s="4">
        <v>27.0</v>
      </c>
      <c r="J20" s="4">
        <v>28.0</v>
      </c>
      <c r="K20" s="4">
        <v>4.8</v>
      </c>
      <c r="L20" s="4" t="s">
        <v>17</v>
      </c>
      <c r="N20">
        <f>COUNTBLANK(A12:L61)</f>
        <v>0.0</v>
      </c>
    </row>
    <row r="21" spans="8:8" ht="15.0" customHeight="1">
      <c r="A21" s="4" t="s">
        <v>33</v>
      </c>
      <c r="B21" s="4">
        <v>10.0</v>
      </c>
      <c r="C21" s="4" t="s">
        <v>19</v>
      </c>
      <c r="D21" s="4" t="s">
        <v>30</v>
      </c>
      <c r="E21" s="4" t="s">
        <v>28</v>
      </c>
      <c r="F21" s="4">
        <v>5.0</v>
      </c>
      <c r="G21" s="4">
        <v>600.0</v>
      </c>
      <c r="H21" s="4">
        <v>50.0</v>
      </c>
      <c r="I21" s="4">
        <v>22.0</v>
      </c>
      <c r="J21" s="4">
        <v>45.0</v>
      </c>
      <c r="K21" s="4">
        <v>4.0</v>
      </c>
      <c r="L21" s="4" t="s">
        <v>17</v>
      </c>
    </row>
    <row r="22" spans="8:8" ht="15.0" customHeight="1">
      <c r="A22" s="4" t="s">
        <v>34</v>
      </c>
      <c r="B22" s="4">
        <v>11.0</v>
      </c>
      <c r="C22" s="4" t="s">
        <v>19</v>
      </c>
      <c r="D22" s="4" t="s">
        <v>15</v>
      </c>
      <c r="E22" s="4" t="s">
        <v>16</v>
      </c>
      <c r="F22" s="4">
        <v>2.0</v>
      </c>
      <c r="G22" s="4">
        <v>700.0</v>
      </c>
      <c r="H22" s="4">
        <v>40.0</v>
      </c>
      <c r="I22" s="4">
        <v>17.0</v>
      </c>
      <c r="J22" s="4">
        <v>46.0</v>
      </c>
      <c r="K22" s="4">
        <v>4.0</v>
      </c>
      <c r="L22" s="4" t="s">
        <v>17</v>
      </c>
    </row>
    <row r="23" spans="8:8" ht="15.0" customHeight="1">
      <c r="A23" s="4" t="s">
        <v>35</v>
      </c>
      <c r="B23" s="4">
        <v>12.0</v>
      </c>
      <c r="C23" s="4" t="s">
        <v>14</v>
      </c>
      <c r="D23" s="4" t="s">
        <v>30</v>
      </c>
      <c r="E23" s="4" t="s">
        <v>21</v>
      </c>
      <c r="F23" s="4">
        <v>4.0</v>
      </c>
      <c r="G23" s="4">
        <v>1400.0</v>
      </c>
      <c r="H23" s="4">
        <v>50.0</v>
      </c>
      <c r="I23" s="4">
        <v>28.0</v>
      </c>
      <c r="J23" s="4">
        <v>29.0</v>
      </c>
      <c r="K23" s="4">
        <v>4.4</v>
      </c>
      <c r="L23" s="4" t="s">
        <v>17</v>
      </c>
    </row>
    <row r="24" spans="8:8" ht="15.0" customHeight="1">
      <c r="A24" s="4" t="s">
        <v>36</v>
      </c>
      <c r="B24" s="4">
        <v>13.0</v>
      </c>
      <c r="C24" s="4" t="s">
        <v>14</v>
      </c>
      <c r="D24" s="4" t="s">
        <v>30</v>
      </c>
      <c r="E24" s="4" t="s">
        <v>28</v>
      </c>
      <c r="F24" s="4">
        <v>5.0</v>
      </c>
      <c r="G24" s="4">
        <v>2500.0</v>
      </c>
      <c r="H24" s="4">
        <v>50.0</v>
      </c>
      <c r="I24" s="4">
        <v>19.0</v>
      </c>
      <c r="J24" s="4">
        <v>31.0</v>
      </c>
      <c r="K24" s="4">
        <v>3.8</v>
      </c>
      <c r="L24" s="4" t="s">
        <v>17</v>
      </c>
    </row>
    <row r="25" spans="8:8" ht="15.0" customHeight="1">
      <c r="A25" s="4" t="s">
        <v>37</v>
      </c>
      <c r="B25" s="4">
        <v>14.0</v>
      </c>
      <c r="C25" s="4" t="s">
        <v>14</v>
      </c>
      <c r="D25" s="4" t="s">
        <v>30</v>
      </c>
      <c r="E25" s="4" t="s">
        <v>21</v>
      </c>
      <c r="F25" s="4">
        <v>5.0</v>
      </c>
      <c r="G25" s="4">
        <v>1750.0</v>
      </c>
      <c r="H25" s="4">
        <v>60.0</v>
      </c>
      <c r="I25" s="4">
        <v>12.0</v>
      </c>
      <c r="J25" s="4">
        <v>57.0</v>
      </c>
      <c r="K25" s="4">
        <v>3.0</v>
      </c>
      <c r="L25" s="4" t="s">
        <v>17</v>
      </c>
    </row>
    <row r="26" spans="8:8" ht="15.0" customHeight="1">
      <c r="A26" s="4" t="s">
        <v>38</v>
      </c>
      <c r="B26" s="4">
        <v>15.0</v>
      </c>
      <c r="C26" s="4" t="s">
        <v>19</v>
      </c>
      <c r="D26" s="4" t="s">
        <v>15</v>
      </c>
      <c r="E26" s="4" t="s">
        <v>21</v>
      </c>
      <c r="F26" s="4">
        <v>4.0</v>
      </c>
      <c r="G26" s="4">
        <v>1000.0</v>
      </c>
      <c r="H26" s="4">
        <v>50.0</v>
      </c>
      <c r="I26" s="4">
        <v>16.0</v>
      </c>
      <c r="J26" s="4">
        <v>53.0</v>
      </c>
      <c r="K26" s="4">
        <v>4.1</v>
      </c>
      <c r="L26" s="4" t="s">
        <v>17</v>
      </c>
    </row>
    <row r="27" spans="8:8" ht="15.0" customHeight="1">
      <c r="A27" s="4" t="s">
        <v>39</v>
      </c>
      <c r="B27" s="4">
        <v>16.0</v>
      </c>
      <c r="C27" s="4" t="s">
        <v>19</v>
      </c>
      <c r="D27" s="4" t="s">
        <v>23</v>
      </c>
      <c r="E27" s="4" t="s">
        <v>28</v>
      </c>
      <c r="F27" s="4">
        <v>1.0</v>
      </c>
      <c r="G27" s="4">
        <v>250.0</v>
      </c>
      <c r="H27" s="4">
        <v>30.0</v>
      </c>
      <c r="I27" s="4">
        <v>17.0</v>
      </c>
      <c r="J27" s="4">
        <v>36.0</v>
      </c>
      <c r="K27" s="4">
        <v>3.9</v>
      </c>
      <c r="L27" s="4" t="s">
        <v>17</v>
      </c>
    </row>
    <row r="28" spans="8:8" ht="15.0" customHeight="1">
      <c r="A28" s="4" t="s">
        <v>40</v>
      </c>
      <c r="B28" s="4">
        <v>17.0</v>
      </c>
      <c r="C28" s="4" t="s">
        <v>19</v>
      </c>
      <c r="D28" s="4" t="s">
        <v>30</v>
      </c>
      <c r="E28" s="4" t="s">
        <v>21</v>
      </c>
      <c r="F28" s="4">
        <v>3.0</v>
      </c>
      <c r="G28" s="4">
        <v>540.0</v>
      </c>
      <c r="H28" s="4">
        <v>30.0</v>
      </c>
      <c r="I28" s="4">
        <v>14.0</v>
      </c>
      <c r="J28" s="4">
        <v>57.0</v>
      </c>
      <c r="K28" s="4">
        <v>3.0</v>
      </c>
      <c r="L28" s="4" t="s">
        <v>25</v>
      </c>
    </row>
    <row r="29" spans="8:8" ht="15.0" customHeight="1">
      <c r="A29" s="4" t="s">
        <v>41</v>
      </c>
      <c r="B29" s="4">
        <v>18.0</v>
      </c>
      <c r="C29" s="4" t="s">
        <v>14</v>
      </c>
      <c r="D29" s="4" t="s">
        <v>15</v>
      </c>
      <c r="E29" s="4" t="s">
        <v>16</v>
      </c>
      <c r="F29" s="4">
        <v>5.0</v>
      </c>
      <c r="G29" s="4">
        <v>900.0</v>
      </c>
      <c r="H29" s="4">
        <v>60.0</v>
      </c>
      <c r="I29" s="4">
        <v>23.0</v>
      </c>
      <c r="J29" s="4">
        <v>28.0</v>
      </c>
      <c r="K29" s="4">
        <v>3.7</v>
      </c>
      <c r="L29" s="4" t="s">
        <v>25</v>
      </c>
    </row>
    <row r="30" spans="8:8" ht="15.0" customHeight="1">
      <c r="A30" s="4" t="s">
        <v>42</v>
      </c>
      <c r="B30" s="4">
        <v>19.0</v>
      </c>
      <c r="C30" s="4" t="s">
        <v>14</v>
      </c>
      <c r="D30" s="4" t="s">
        <v>30</v>
      </c>
      <c r="E30" s="4" t="s">
        <v>21</v>
      </c>
      <c r="F30" s="4">
        <v>2.0</v>
      </c>
      <c r="G30" s="4">
        <v>1000.0</v>
      </c>
      <c r="H30" s="4">
        <v>40.0</v>
      </c>
      <c r="I30" s="4">
        <v>18.0</v>
      </c>
      <c r="J30" s="4">
        <v>56.0</v>
      </c>
      <c r="K30" s="4">
        <v>3.5</v>
      </c>
      <c r="L30" s="4" t="s">
        <v>17</v>
      </c>
    </row>
    <row r="31" spans="8:8" ht="15.0" customHeight="1">
      <c r="A31" s="4" t="s">
        <v>43</v>
      </c>
      <c r="B31" s="4">
        <v>20.0</v>
      </c>
      <c r="C31" s="4" t="s">
        <v>19</v>
      </c>
      <c r="D31" s="4" t="s">
        <v>15</v>
      </c>
      <c r="E31" s="4" t="s">
        <v>28</v>
      </c>
      <c r="F31" s="4">
        <v>2.0</v>
      </c>
      <c r="G31" s="4">
        <v>240.0</v>
      </c>
      <c r="H31" s="4">
        <v>40.0</v>
      </c>
      <c r="I31" s="4">
        <v>29.0</v>
      </c>
      <c r="J31" s="4">
        <v>34.0</v>
      </c>
      <c r="K31" s="4">
        <v>3.6</v>
      </c>
      <c r="L31" s="4" t="s">
        <v>17</v>
      </c>
    </row>
    <row r="32" spans="8:8" ht="15.0" customHeight="1">
      <c r="A32" s="4" t="s">
        <v>44</v>
      </c>
      <c r="B32" s="4">
        <v>21.0</v>
      </c>
      <c r="C32" s="4" t="s">
        <v>19</v>
      </c>
      <c r="D32" s="4" t="s">
        <v>23</v>
      </c>
      <c r="E32" s="4" t="s">
        <v>16</v>
      </c>
      <c r="F32" s="4">
        <v>2.0</v>
      </c>
      <c r="G32" s="4">
        <v>360.0</v>
      </c>
      <c r="H32" s="4">
        <v>60.0</v>
      </c>
      <c r="I32" s="4">
        <v>7.0</v>
      </c>
      <c r="J32" s="4">
        <v>21.0</v>
      </c>
      <c r="K32" s="4">
        <v>4.2</v>
      </c>
      <c r="L32" s="4" t="s">
        <v>25</v>
      </c>
    </row>
    <row r="33" spans="8:8" ht="15.0" customHeight="1">
      <c r="A33" s="4" t="s">
        <v>45</v>
      </c>
      <c r="B33" s="4">
        <v>22.0</v>
      </c>
      <c r="C33" s="4" t="s">
        <v>19</v>
      </c>
      <c r="D33" s="4" t="s">
        <v>15</v>
      </c>
      <c r="E33" s="4" t="s">
        <v>21</v>
      </c>
      <c r="F33" s="4">
        <v>3.0</v>
      </c>
      <c r="G33" s="4">
        <v>750.0</v>
      </c>
      <c r="H33" s="4">
        <v>60.0</v>
      </c>
      <c r="I33" s="4">
        <v>10.0</v>
      </c>
      <c r="J33" s="4">
        <v>34.0</v>
      </c>
      <c r="K33" s="4">
        <v>3.9</v>
      </c>
      <c r="L33" s="4" t="s">
        <v>25</v>
      </c>
    </row>
    <row r="34" spans="8:8" ht="15.0" customHeight="1">
      <c r="A34" s="4" t="s">
        <v>46</v>
      </c>
      <c r="B34" s="4">
        <v>23.0</v>
      </c>
      <c r="C34" s="4" t="s">
        <v>19</v>
      </c>
      <c r="D34" s="4" t="s">
        <v>30</v>
      </c>
      <c r="E34" s="4" t="s">
        <v>28</v>
      </c>
      <c r="F34" s="4">
        <v>3.0</v>
      </c>
      <c r="G34" s="4">
        <v>540.0</v>
      </c>
      <c r="H34" s="4">
        <v>60.0</v>
      </c>
      <c r="I34" s="4">
        <v>7.0</v>
      </c>
      <c r="J34" s="4">
        <v>16.0</v>
      </c>
      <c r="K34" s="4">
        <v>4.4</v>
      </c>
      <c r="L34" s="4" t="s">
        <v>25</v>
      </c>
    </row>
    <row r="35" spans="8:8" ht="15.0" customHeight="1">
      <c r="A35" s="4" t="s">
        <v>47</v>
      </c>
      <c r="B35" s="4">
        <v>24.0</v>
      </c>
      <c r="C35" s="4" t="s">
        <v>14</v>
      </c>
      <c r="D35" s="4" t="s">
        <v>15</v>
      </c>
      <c r="E35" s="4" t="s">
        <v>16</v>
      </c>
      <c r="F35" s="4">
        <v>3.0</v>
      </c>
      <c r="G35" s="4">
        <v>540.0</v>
      </c>
      <c r="H35" s="4">
        <v>40.0</v>
      </c>
      <c r="I35" s="4">
        <v>11.0</v>
      </c>
      <c r="J35" s="4">
        <v>24.0</v>
      </c>
      <c r="K35" s="4">
        <v>4.3</v>
      </c>
      <c r="L35" s="4" t="s">
        <v>17</v>
      </c>
    </row>
    <row r="36" spans="8:8" ht="15.0" customHeight="1">
      <c r="A36" s="4" t="s">
        <v>48</v>
      </c>
      <c r="B36" s="4">
        <v>25.0</v>
      </c>
      <c r="C36" s="4" t="s">
        <v>19</v>
      </c>
      <c r="D36" s="4" t="s">
        <v>23</v>
      </c>
      <c r="E36" s="4" t="s">
        <v>16</v>
      </c>
      <c r="F36" s="4">
        <v>1.0</v>
      </c>
      <c r="G36" s="4">
        <v>180.0</v>
      </c>
      <c r="H36" s="4">
        <v>50.0</v>
      </c>
      <c r="I36" s="4">
        <v>21.0</v>
      </c>
      <c r="J36" s="4">
        <v>31.0</v>
      </c>
      <c r="K36" s="4">
        <v>4.7</v>
      </c>
      <c r="L36" s="4" t="s">
        <v>17</v>
      </c>
    </row>
    <row r="37" spans="8:8" ht="15.0" customHeight="1">
      <c r="A37" s="4" t="s">
        <v>49</v>
      </c>
      <c r="B37" s="4">
        <v>26.0</v>
      </c>
      <c r="C37" s="4" t="s">
        <v>14</v>
      </c>
      <c r="D37" s="4" t="s">
        <v>15</v>
      </c>
      <c r="E37" s="4" t="s">
        <v>16</v>
      </c>
      <c r="F37" s="4">
        <v>2.0</v>
      </c>
      <c r="G37" s="4">
        <v>500.0</v>
      </c>
      <c r="H37" s="4">
        <v>60.0</v>
      </c>
      <c r="I37" s="4">
        <v>23.0</v>
      </c>
      <c r="J37" s="4">
        <v>48.0</v>
      </c>
      <c r="K37" s="4">
        <v>3.9</v>
      </c>
      <c r="L37" s="4" t="s">
        <v>17</v>
      </c>
    </row>
    <row r="38" spans="8:8" ht="15.0" customHeight="1">
      <c r="A38" s="4" t="s">
        <v>50</v>
      </c>
      <c r="B38" s="4">
        <v>27.0</v>
      </c>
      <c r="C38" s="4" t="s">
        <v>19</v>
      </c>
      <c r="D38" s="4" t="s">
        <v>20</v>
      </c>
      <c r="E38" s="4" t="s">
        <v>28</v>
      </c>
      <c r="F38" s="4">
        <v>4.0</v>
      </c>
      <c r="G38" s="4">
        <v>1400.0</v>
      </c>
      <c r="H38" s="4">
        <v>40.0</v>
      </c>
      <c r="I38" s="4">
        <v>22.0</v>
      </c>
      <c r="J38" s="4">
        <v>15.0</v>
      </c>
      <c r="K38" s="4">
        <v>4.1</v>
      </c>
      <c r="L38" s="4" t="s">
        <v>17</v>
      </c>
    </row>
    <row r="39" spans="8:8" ht="15.0" customHeight="1">
      <c r="A39" s="4" t="s">
        <v>51</v>
      </c>
      <c r="B39" s="4">
        <v>28.0</v>
      </c>
      <c r="C39" s="4" t="s">
        <v>19</v>
      </c>
      <c r="D39" s="4" t="s">
        <v>23</v>
      </c>
      <c r="E39" s="4" t="s">
        <v>21</v>
      </c>
      <c r="F39" s="4">
        <v>1.0</v>
      </c>
      <c r="G39" s="4">
        <v>500.0</v>
      </c>
      <c r="H39" s="4">
        <v>60.0</v>
      </c>
      <c r="I39" s="4">
        <v>27.0</v>
      </c>
      <c r="J39" s="4">
        <v>24.0</v>
      </c>
      <c r="K39" s="4">
        <v>4.3</v>
      </c>
      <c r="L39" s="4" t="s">
        <v>17</v>
      </c>
    </row>
    <row r="40" spans="8:8" ht="15.0" customHeight="1">
      <c r="A40" s="4" t="s">
        <v>52</v>
      </c>
      <c r="B40" s="4">
        <v>29.0</v>
      </c>
      <c r="C40" s="4" t="s">
        <v>19</v>
      </c>
      <c r="D40" s="4" t="s">
        <v>20</v>
      </c>
      <c r="E40" s="4" t="s">
        <v>16</v>
      </c>
      <c r="F40" s="4">
        <v>5.0</v>
      </c>
      <c r="G40" s="4">
        <v>1750.0</v>
      </c>
      <c r="H40" s="4">
        <v>50.0</v>
      </c>
      <c r="I40" s="4">
        <v>21.0</v>
      </c>
      <c r="J40" s="4">
        <v>18.0</v>
      </c>
      <c r="K40" s="4">
        <v>4.6</v>
      </c>
      <c r="L40" s="4" t="s">
        <v>17</v>
      </c>
    </row>
    <row r="41" spans="8:8" ht="15.0" customHeight="1">
      <c r="A41" s="4" t="s">
        <v>53</v>
      </c>
      <c r="B41" s="4">
        <v>30.0</v>
      </c>
      <c r="C41" s="4" t="s">
        <v>19</v>
      </c>
      <c r="D41" s="4" t="s">
        <v>30</v>
      </c>
      <c r="E41" s="4" t="s">
        <v>21</v>
      </c>
      <c r="F41" s="4">
        <v>4.0</v>
      </c>
      <c r="G41" s="4">
        <v>720.0</v>
      </c>
      <c r="H41" s="4">
        <v>30.0</v>
      </c>
      <c r="I41" s="4">
        <v>16.0</v>
      </c>
      <c r="J41" s="4">
        <v>32.0</v>
      </c>
      <c r="K41" s="4">
        <v>4.3</v>
      </c>
      <c r="L41" s="4" t="s">
        <v>25</v>
      </c>
    </row>
    <row r="42" spans="8:8" ht="15.0" customHeight="1">
      <c r="A42" s="4" t="s">
        <v>54</v>
      </c>
      <c r="B42" s="4">
        <v>31.0</v>
      </c>
      <c r="C42" s="4" t="s">
        <v>14</v>
      </c>
      <c r="D42" s="4" t="s">
        <v>30</v>
      </c>
      <c r="E42" s="4" t="s">
        <v>16</v>
      </c>
      <c r="F42" s="4">
        <v>3.0</v>
      </c>
      <c r="G42" s="4">
        <v>1500.0</v>
      </c>
      <c r="H42" s="4">
        <v>60.0</v>
      </c>
      <c r="I42" s="4">
        <v>14.0</v>
      </c>
      <c r="J42" s="4">
        <v>57.0</v>
      </c>
      <c r="K42" s="4">
        <v>3.9</v>
      </c>
      <c r="L42" s="4" t="s">
        <v>17</v>
      </c>
    </row>
    <row r="43" spans="8:8" ht="15.0" customHeight="1">
      <c r="A43" s="4" t="s">
        <v>55</v>
      </c>
      <c r="B43" s="4">
        <v>32.0</v>
      </c>
      <c r="C43" s="4" t="s">
        <v>19</v>
      </c>
      <c r="D43" s="4" t="s">
        <v>15</v>
      </c>
      <c r="E43" s="4" t="s">
        <v>16</v>
      </c>
      <c r="F43" s="4">
        <v>3.0</v>
      </c>
      <c r="G43" s="4">
        <v>1050.0</v>
      </c>
      <c r="H43" s="4">
        <v>60.0</v>
      </c>
      <c r="I43" s="4">
        <v>17.0</v>
      </c>
      <c r="J43" s="4">
        <v>35.0</v>
      </c>
      <c r="K43" s="4">
        <v>3.9</v>
      </c>
      <c r="L43" s="4" t="s">
        <v>17</v>
      </c>
    </row>
    <row r="44" spans="8:8" ht="15.0" customHeight="1">
      <c r="A44" s="4" t="s">
        <v>56</v>
      </c>
      <c r="B44" s="4">
        <v>33.0</v>
      </c>
      <c r="C44" s="4" t="s">
        <v>19</v>
      </c>
      <c r="D44" s="4" t="s">
        <v>23</v>
      </c>
      <c r="E44" s="4" t="s">
        <v>28</v>
      </c>
      <c r="F44" s="4">
        <v>5.0</v>
      </c>
      <c r="G44" s="4">
        <v>900.0</v>
      </c>
      <c r="H44" s="4">
        <v>40.0</v>
      </c>
      <c r="I44" s="4">
        <v>22.0</v>
      </c>
      <c r="J44" s="4">
        <v>38.0</v>
      </c>
      <c r="K44" s="4">
        <v>4.1</v>
      </c>
      <c r="L44" s="4" t="s">
        <v>17</v>
      </c>
    </row>
    <row r="45" spans="8:8" ht="15.0" customHeight="1">
      <c r="A45" s="4" t="s">
        <v>57</v>
      </c>
      <c r="B45" s="4">
        <v>34.0</v>
      </c>
      <c r="C45" s="4" t="s">
        <v>19</v>
      </c>
      <c r="D45" s="4" t="s">
        <v>23</v>
      </c>
      <c r="E45" s="4" t="s">
        <v>16</v>
      </c>
      <c r="F45" s="4">
        <v>1.0</v>
      </c>
      <c r="G45" s="4">
        <v>250.0</v>
      </c>
      <c r="H45" s="4">
        <v>40.0</v>
      </c>
      <c r="I45" s="4">
        <v>23.0</v>
      </c>
      <c r="J45" s="4">
        <v>50.0</v>
      </c>
      <c r="K45" s="4">
        <v>3.9</v>
      </c>
      <c r="L45" s="4" t="s">
        <v>25</v>
      </c>
    </row>
    <row r="46" spans="8:8" ht="15.0" customHeight="1">
      <c r="A46" s="4" t="s">
        <v>58</v>
      </c>
      <c r="B46" s="4">
        <v>35.0</v>
      </c>
      <c r="C46" s="4" t="s">
        <v>19</v>
      </c>
      <c r="D46" s="4" t="s">
        <v>30</v>
      </c>
      <c r="E46" s="4" t="s">
        <v>16</v>
      </c>
      <c r="F46" s="4">
        <v>1.0</v>
      </c>
      <c r="G46" s="4">
        <v>120.0</v>
      </c>
      <c r="H46" s="4">
        <v>50.0</v>
      </c>
      <c r="I46" s="4">
        <v>28.0</v>
      </c>
      <c r="J46" s="4">
        <v>45.0</v>
      </c>
      <c r="K46" s="4">
        <v>4.4</v>
      </c>
      <c r="L46" s="4" t="s">
        <v>25</v>
      </c>
    </row>
    <row r="47" spans="8:8" ht="15.0" customHeight="1">
      <c r="A47" s="4" t="s">
        <v>59</v>
      </c>
      <c r="B47" s="4">
        <v>36.0</v>
      </c>
      <c r="C47" s="4" t="s">
        <v>19</v>
      </c>
      <c r="D47" s="4" t="s">
        <v>20</v>
      </c>
      <c r="E47" s="4" t="s">
        <v>21</v>
      </c>
      <c r="F47" s="4">
        <v>2.0</v>
      </c>
      <c r="G47" s="4">
        <v>1000.0</v>
      </c>
      <c r="H47" s="4">
        <v>30.0</v>
      </c>
      <c r="I47" s="4">
        <v>7.0</v>
      </c>
      <c r="J47" s="4">
        <v>39.0</v>
      </c>
      <c r="K47" s="4">
        <v>3.9</v>
      </c>
      <c r="L47" s="4" t="s">
        <v>17</v>
      </c>
    </row>
    <row r="48" spans="8:8" ht="15.0" customHeight="1">
      <c r="A48" s="4" t="s">
        <v>60</v>
      </c>
      <c r="B48" s="4">
        <v>37.0</v>
      </c>
      <c r="C48" s="4" t="s">
        <v>14</v>
      </c>
      <c r="D48" s="4" t="s">
        <v>23</v>
      </c>
      <c r="E48" s="4" t="s">
        <v>16</v>
      </c>
      <c r="F48" s="4">
        <v>3.0</v>
      </c>
      <c r="G48" s="4">
        <v>360.0</v>
      </c>
      <c r="H48" s="4">
        <v>50.0</v>
      </c>
      <c r="I48" s="4">
        <v>21.0</v>
      </c>
      <c r="J48" s="4">
        <v>15.0</v>
      </c>
      <c r="K48" s="4">
        <v>4.4</v>
      </c>
      <c r="L48" s="4" t="s">
        <v>17</v>
      </c>
    </row>
    <row r="49" spans="8:8" ht="15.0" customHeight="1">
      <c r="A49" s="4" t="s">
        <v>61</v>
      </c>
      <c r="B49" s="4">
        <v>38.0</v>
      </c>
      <c r="C49" s="4" t="s">
        <v>14</v>
      </c>
      <c r="D49" s="4" t="s">
        <v>20</v>
      </c>
      <c r="E49" s="4" t="s">
        <v>21</v>
      </c>
      <c r="F49" s="4">
        <v>2.0</v>
      </c>
      <c r="G49" s="4">
        <v>360.0</v>
      </c>
      <c r="H49" s="4">
        <v>50.0</v>
      </c>
      <c r="I49" s="4">
        <v>19.0</v>
      </c>
      <c r="J49" s="4">
        <v>59.0</v>
      </c>
      <c r="K49" s="4">
        <v>3.6</v>
      </c>
      <c r="L49" s="4" t="s">
        <v>25</v>
      </c>
    </row>
    <row r="50" spans="8:8" ht="15.0" customHeight="1">
      <c r="A50" s="4" t="s">
        <v>62</v>
      </c>
      <c r="B50" s="4">
        <v>39.0</v>
      </c>
      <c r="C50" s="4" t="s">
        <v>14</v>
      </c>
      <c r="D50" s="4" t="s">
        <v>30</v>
      </c>
      <c r="E50" s="4" t="s">
        <v>16</v>
      </c>
      <c r="F50" s="4">
        <v>3.0</v>
      </c>
      <c r="G50" s="4">
        <v>750.0</v>
      </c>
      <c r="H50" s="4">
        <v>40.0</v>
      </c>
      <c r="I50" s="4">
        <v>24.0</v>
      </c>
      <c r="J50" s="4">
        <v>36.0</v>
      </c>
      <c r="K50" s="4">
        <v>4.3</v>
      </c>
      <c r="L50" s="4" t="s">
        <v>17</v>
      </c>
    </row>
    <row r="51" spans="8:8" ht="15.0" customHeight="1">
      <c r="A51" s="4" t="s">
        <v>63</v>
      </c>
      <c r="B51" s="4">
        <v>40.0</v>
      </c>
      <c r="C51" s="4" t="s">
        <v>19</v>
      </c>
      <c r="D51" s="4" t="s">
        <v>30</v>
      </c>
      <c r="E51" s="4" t="s">
        <v>21</v>
      </c>
      <c r="F51" s="4">
        <v>1.0</v>
      </c>
      <c r="G51" s="4">
        <v>350.0</v>
      </c>
      <c r="H51" s="4">
        <v>60.0</v>
      </c>
      <c r="I51" s="4">
        <v>23.0</v>
      </c>
      <c r="J51" s="4">
        <v>19.0</v>
      </c>
      <c r="K51" s="4">
        <v>4.9</v>
      </c>
      <c r="L51" s="4" t="s">
        <v>17</v>
      </c>
    </row>
    <row r="52" spans="8:8" ht="15.0" customHeight="1">
      <c r="A52" s="4" t="s">
        <v>64</v>
      </c>
      <c r="B52" s="4">
        <v>41.0</v>
      </c>
      <c r="C52" s="4" t="s">
        <v>14</v>
      </c>
      <c r="D52" s="4" t="s">
        <v>15</v>
      </c>
      <c r="E52" s="4" t="s">
        <v>21</v>
      </c>
      <c r="F52" s="4">
        <v>1.0</v>
      </c>
      <c r="G52" s="4">
        <v>350.0</v>
      </c>
      <c r="H52" s="4">
        <v>40.0</v>
      </c>
      <c r="I52" s="4">
        <v>27.0</v>
      </c>
      <c r="J52" s="4">
        <v>53.0</v>
      </c>
      <c r="K52" s="4">
        <v>3.6</v>
      </c>
      <c r="L52" s="4" t="s">
        <v>25</v>
      </c>
    </row>
    <row r="53" spans="8:8" ht="15.0" customHeight="1">
      <c r="A53" s="4" t="s">
        <v>65</v>
      </c>
      <c r="B53" s="4">
        <v>42.0</v>
      </c>
      <c r="C53" s="4" t="s">
        <v>19</v>
      </c>
      <c r="D53" s="4" t="s">
        <v>23</v>
      </c>
      <c r="E53" s="4" t="s">
        <v>28</v>
      </c>
      <c r="F53" s="4">
        <v>3.0</v>
      </c>
      <c r="G53" s="4">
        <v>360.0</v>
      </c>
      <c r="H53" s="4">
        <v>30.0</v>
      </c>
      <c r="I53" s="4">
        <v>15.0</v>
      </c>
      <c r="J53" s="4">
        <v>41.0</v>
      </c>
      <c r="K53" s="4">
        <v>4.0</v>
      </c>
      <c r="L53" s="4" t="s">
        <v>17</v>
      </c>
    </row>
    <row r="54" spans="8:8" ht="15.0" customHeight="1">
      <c r="A54" s="4" t="s">
        <v>66</v>
      </c>
      <c r="B54" s="4">
        <v>43.0</v>
      </c>
      <c r="C54" s="4" t="s">
        <v>14</v>
      </c>
      <c r="D54" s="4" t="s">
        <v>23</v>
      </c>
      <c r="E54" s="4" t="s">
        <v>21</v>
      </c>
      <c r="F54" s="4">
        <v>5.0</v>
      </c>
      <c r="G54" s="4">
        <v>2500.0</v>
      </c>
      <c r="H54" s="4">
        <v>40.0</v>
      </c>
      <c r="I54" s="4">
        <v>16.0</v>
      </c>
      <c r="J54" s="4">
        <v>31.0</v>
      </c>
      <c r="K54" s="4">
        <v>3.9</v>
      </c>
      <c r="L54" s="4" t="s">
        <v>25</v>
      </c>
    </row>
    <row r="55" spans="8:8" ht="15.0" customHeight="1">
      <c r="A55" s="4" t="s">
        <v>67</v>
      </c>
      <c r="B55" s="4">
        <v>44.0</v>
      </c>
      <c r="C55" s="4" t="s">
        <v>14</v>
      </c>
      <c r="D55" s="4" t="s">
        <v>15</v>
      </c>
      <c r="E55" s="4" t="s">
        <v>28</v>
      </c>
      <c r="F55" s="4">
        <v>4.0</v>
      </c>
      <c r="G55" s="4">
        <v>2000.0</v>
      </c>
      <c r="H55" s="4">
        <v>60.0</v>
      </c>
      <c r="I55" s="4">
        <v>10.0</v>
      </c>
      <c r="J55" s="4">
        <v>50.0</v>
      </c>
      <c r="K55" s="4">
        <v>3.8</v>
      </c>
      <c r="L55" s="4" t="s">
        <v>25</v>
      </c>
    </row>
    <row r="56" spans="8:8" ht="15.0" customHeight="1">
      <c r="A56" s="4" t="s">
        <v>68</v>
      </c>
      <c r="B56" s="4">
        <v>45.0</v>
      </c>
      <c r="C56" s="4" t="s">
        <v>19</v>
      </c>
      <c r="D56" s="4" t="s">
        <v>20</v>
      </c>
      <c r="E56" s="4" t="s">
        <v>21</v>
      </c>
      <c r="F56" s="4">
        <v>3.0</v>
      </c>
      <c r="G56" s="4">
        <v>540.0</v>
      </c>
      <c r="H56" s="4">
        <v>40.0</v>
      </c>
      <c r="I56" s="4">
        <v>19.0</v>
      </c>
      <c r="J56" s="4">
        <v>15.0</v>
      </c>
      <c r="K56" s="4">
        <v>4.9</v>
      </c>
      <c r="L56" s="4" t="s">
        <v>17</v>
      </c>
    </row>
    <row r="57" spans="8:8" ht="15.0" customHeight="1">
      <c r="A57" s="4" t="s">
        <v>69</v>
      </c>
      <c r="B57" s="4">
        <v>46.0</v>
      </c>
      <c r="C57" s="4" t="s">
        <v>19</v>
      </c>
      <c r="D57" s="4" t="s">
        <v>23</v>
      </c>
      <c r="E57" s="4" t="s">
        <v>28</v>
      </c>
      <c r="F57" s="4">
        <v>5.0</v>
      </c>
      <c r="G57" s="4">
        <v>900.0</v>
      </c>
      <c r="H57" s="4">
        <v>50.0</v>
      </c>
      <c r="I57" s="4">
        <v>17.0</v>
      </c>
      <c r="J57" s="4">
        <v>15.0</v>
      </c>
      <c r="K57" s="4">
        <v>4.7</v>
      </c>
      <c r="L57" s="4" t="s">
        <v>17</v>
      </c>
    </row>
    <row r="58" spans="8:8" ht="15.0" customHeight="1">
      <c r="A58" s="4" t="s">
        <v>70</v>
      </c>
      <c r="B58" s="4">
        <v>47.0</v>
      </c>
      <c r="C58" s="4" t="s">
        <v>19</v>
      </c>
      <c r="D58" s="4" t="s">
        <v>23</v>
      </c>
      <c r="E58" s="4" t="s">
        <v>21</v>
      </c>
      <c r="F58" s="4">
        <v>2.0</v>
      </c>
      <c r="G58" s="4">
        <v>360.0</v>
      </c>
      <c r="H58" s="4">
        <v>40.0</v>
      </c>
      <c r="I58" s="4">
        <v>10.0</v>
      </c>
      <c r="J58" s="4">
        <v>39.0</v>
      </c>
      <c r="K58" s="4">
        <v>4.2</v>
      </c>
      <c r="L58" s="4" t="s">
        <v>17</v>
      </c>
    </row>
    <row r="59" spans="8:8" ht="15.0" customHeight="1">
      <c r="A59" s="4" t="s">
        <v>71</v>
      </c>
      <c r="B59" s="4">
        <v>48.0</v>
      </c>
      <c r="C59" s="4" t="s">
        <v>14</v>
      </c>
      <c r="D59" s="4" t="s">
        <v>30</v>
      </c>
      <c r="E59" s="4" t="s">
        <v>16</v>
      </c>
      <c r="F59" s="4">
        <v>5.0</v>
      </c>
      <c r="G59" s="4">
        <v>600.0</v>
      </c>
      <c r="H59" s="4">
        <v>30.0</v>
      </c>
      <c r="I59" s="4">
        <v>27.0</v>
      </c>
      <c r="J59" s="4">
        <v>39.0</v>
      </c>
      <c r="K59" s="4">
        <v>3.9</v>
      </c>
      <c r="L59" s="4" t="s">
        <v>17</v>
      </c>
    </row>
    <row r="60" spans="8:8" ht="15.0" customHeight="1">
      <c r="A60" s="4" t="s">
        <v>72</v>
      </c>
      <c r="B60" s="4">
        <v>49.0</v>
      </c>
      <c r="C60" s="4" t="s">
        <v>19</v>
      </c>
      <c r="D60" s="4" t="s">
        <v>15</v>
      </c>
      <c r="E60" s="4" t="s">
        <v>28</v>
      </c>
      <c r="F60" s="4">
        <v>1.0</v>
      </c>
      <c r="G60" s="4">
        <v>500.0</v>
      </c>
      <c r="H60" s="4">
        <v>50.0</v>
      </c>
      <c r="I60" s="4">
        <v>12.0</v>
      </c>
      <c r="J60" s="4">
        <v>51.0</v>
      </c>
      <c r="K60" s="4">
        <v>3.5</v>
      </c>
      <c r="L60" s="4" t="s">
        <v>25</v>
      </c>
    </row>
    <row r="61" spans="8:8" ht="15.0" customHeight="1">
      <c r="A61" s="4" t="s">
        <v>73</v>
      </c>
      <c r="B61" s="4">
        <v>50.0</v>
      </c>
      <c r="C61" s="4" t="s">
        <v>19</v>
      </c>
      <c r="D61" s="4" t="s">
        <v>30</v>
      </c>
      <c r="E61" s="4" t="s">
        <v>28</v>
      </c>
      <c r="F61" s="4">
        <v>1.0</v>
      </c>
      <c r="G61" s="4">
        <v>180.0</v>
      </c>
      <c r="H61" s="4">
        <v>30.0</v>
      </c>
      <c r="I61" s="4">
        <v>7.0</v>
      </c>
      <c r="J61" s="4">
        <v>22.0</v>
      </c>
      <c r="K61" s="4">
        <v>4.9</v>
      </c>
      <c r="L61" s="4" t="s">
        <v>25</v>
      </c>
    </row>
  </sheetData>
  <mergeCells count="7">
    <mergeCell ref="A1:L1"/>
    <mergeCell ref="A3:L3"/>
    <mergeCell ref="A4:L4"/>
    <mergeCell ref="A5:L5"/>
    <mergeCell ref="A6:L6"/>
    <mergeCell ref="A7:L7"/>
    <mergeCell ref="A8:L8"/>
  </mergeCells>
  <pageMargins left="0.75" right="0.75" top="1.0" bottom="1.0" header="0.511811023622047" footer="0.511811023622047"/>
</worksheet>
</file>

<file path=xl/worksheets/sheet4.xml><?xml version="1.0" encoding="utf-8"?>
<worksheet xmlns:r="http://schemas.openxmlformats.org/officeDocument/2006/relationships" xmlns="http://schemas.openxmlformats.org/spreadsheetml/2006/main">
  <dimension ref="A1:M55"/>
  <sheetViews>
    <sheetView workbookViewId="0" topLeftCell="E18" zoomScale="85">
      <selection activeCell="A1" sqref="A1:F1"/>
    </sheetView>
  </sheetViews>
  <sheetFormatPr defaultRowHeight="15.0" defaultColWidth="10" zeroHeight="1"/>
  <sheetData>
    <row r="1" spans="8:8" ht="24.0" customHeight="1">
      <c r="A1" s="2" t="s">
        <v>109</v>
      </c>
      <c r="B1" s="2"/>
      <c r="C1" s="2"/>
      <c r="D1" s="2"/>
      <c r="E1" s="2"/>
      <c r="F1" s="2"/>
    </row>
    <row r="3" spans="8:8" ht="15.0" customHeight="1">
      <c r="A3" s="8" t="s">
        <v>110</v>
      </c>
      <c r="B3" s="8"/>
      <c r="C3" s="8"/>
      <c r="D3" s="8"/>
      <c r="E3" s="8"/>
      <c r="F3" s="8"/>
    </row>
    <row r="4" spans="8:8" ht="15.0" customHeight="1">
      <c r="A4" s="3" t="s">
        <v>111</v>
      </c>
      <c r="B4" s="3" t="s">
        <v>7</v>
      </c>
      <c r="C4" s="3" t="s">
        <v>6</v>
      </c>
      <c r="D4" s="3" t="s">
        <v>9</v>
      </c>
      <c r="E4" s="3" t="s">
        <v>10</v>
      </c>
      <c r="F4" s="3" t="s">
        <v>11</v>
      </c>
    </row>
    <row r="5" spans="8:8" ht="15.0" customHeight="1">
      <c r="A5" s="9" t="s">
        <v>112</v>
      </c>
      <c r="B5" s="10">
        <f>AVERAGE(Cleaned_Data!$G$12:$G$61)</f>
        <v>733.4</v>
      </c>
      <c r="C5" s="10">
        <f>AVERAGE(Cleaned_Data!$F$12:$F$61)</f>
        <v>2.82</v>
      </c>
      <c r="D5" s="10">
        <f>AVERAGE(Cleaned_Data!$I$12:$I$61)</f>
        <v>18.14</v>
      </c>
      <c r="E5" s="10">
        <f>AVERAGE(Cleaned_Data!$J$12:$J$61)</f>
        <v>36.02</v>
      </c>
      <c r="F5" s="10">
        <f>AVERAGE(Cleaned_Data!$K$12:$K$61)</f>
        <v>4.080000000000001</v>
      </c>
    </row>
    <row r="6" spans="8:8" ht="15.0" customHeight="1">
      <c r="A6" s="9" t="s">
        <v>113</v>
      </c>
      <c r="B6" s="10">
        <f>MEDIAN(Cleaned_Data!$G$12:$G$61)</f>
        <v>540.0</v>
      </c>
      <c r="C6" s="10">
        <f>MEDIAN(Cleaned_Data!$F$12:$F$61)</f>
        <v>3.0</v>
      </c>
      <c r="D6" s="10">
        <f>MEDIAN(Cleaned_Data!$I$12:$I$61)</f>
        <v>17.5</v>
      </c>
      <c r="E6" s="10">
        <f>MEDIAN(Cleaned_Data!$J$12:$J$61)</f>
        <v>35.5</v>
      </c>
      <c r="F6" s="10">
        <f>MEDIAN(Cleaned_Data!$K$12:$K$61)</f>
        <v>4.0</v>
      </c>
    </row>
    <row r="7" spans="8:8" ht="15.0" customHeight="1">
      <c r="A7" s="9" t="s">
        <v>114</v>
      </c>
      <c r="B7" s="10">
        <f>MIN(Cleaned_Data!$G$12:$G$61)</f>
        <v>120.0</v>
      </c>
      <c r="C7" s="10">
        <f>MIN(Cleaned_Data!$F$12:$F$61)</f>
        <v>1.0</v>
      </c>
      <c r="D7" s="10">
        <f>MIN(Cleaned_Data!$I$12:$I$61)</f>
        <v>7.0</v>
      </c>
      <c r="E7" s="10">
        <f>MIN(Cleaned_Data!$J$12:$J$61)</f>
        <v>15.0</v>
      </c>
      <c r="F7" s="10">
        <f>MIN(Cleaned_Data!$K$12:$K$61)</f>
        <v>3.0</v>
      </c>
    </row>
    <row r="8" spans="8:8" ht="15.0" customHeight="1">
      <c r="A8" s="9" t="s">
        <v>115</v>
      </c>
      <c r="B8" s="10">
        <f>MAX(Cleaned_Data!$G$12:$G$61)</f>
        <v>2500.0</v>
      </c>
      <c r="C8" s="10">
        <f>MAX(Cleaned_Data!$F$12:$F$61)</f>
        <v>5.0</v>
      </c>
      <c r="D8" s="10">
        <f>MAX(Cleaned_Data!$I$12:$I$61)</f>
        <v>29.0</v>
      </c>
      <c r="E8" s="10">
        <f>MAX(Cleaned_Data!$J$12:$J$61)</f>
        <v>59.0</v>
      </c>
      <c r="F8" s="10">
        <f>MAX(Cleaned_Data!$K$12:$K$61)</f>
        <v>4.9</v>
      </c>
    </row>
    <row r="9" spans="8:8" ht="15.0" customHeight="1">
      <c r="A9" s="9" t="s">
        <v>116</v>
      </c>
      <c r="B9" s="10">
        <f>_xlfn.STDEV.S(Cleaned_Data!$G$12:$G$61)</f>
        <v>578.688206909668</v>
      </c>
      <c r="C9" s="10">
        <f>_xlfn.STDEV.S(Cleaned_Data!$F$12:$F$61)</f>
        <v>1.42413597149504</v>
      </c>
      <c r="D9" s="10">
        <f>_xlfn.STDEV.S(Cleaned_Data!$I$12:$I$61)</f>
        <v>6.33103789408392</v>
      </c>
      <c r="E9" s="10">
        <f>_xlfn.STDEV.S(Cleaned_Data!$J$12:$J$61)</f>
        <v>13.0798021578996</v>
      </c>
      <c r="F9" s="10">
        <f>_xlfn.STDEV.S(Cleaned_Data!$K$12:$K$61)</f>
        <v>0.438457407234937</v>
      </c>
    </row>
    <row r="12" spans="8:8" ht="15.0" customHeight="1">
      <c r="A12" s="8" t="s">
        <v>117</v>
      </c>
      <c r="B12" s="8"/>
      <c r="C12" s="8"/>
      <c r="D12" s="8"/>
      <c r="E12" s="8"/>
      <c r="F12" s="8"/>
    </row>
    <row r="13" spans="8:8" ht="15.0" customHeight="1">
      <c r="A13" s="3" t="s">
        <v>3</v>
      </c>
      <c r="B13" s="3" t="s">
        <v>118</v>
      </c>
      <c r="C13" s="3" t="s">
        <v>119</v>
      </c>
      <c r="D13" s="3" t="s">
        <v>120</v>
      </c>
    </row>
    <row r="14" spans="8:8" ht="15.0" customHeight="1">
      <c r="A14" s="11" t="s">
        <v>19</v>
      </c>
      <c r="B14" s="11">
        <f>COUNTIF(Cleaned_Data!$C$12:$C$61,A14)</f>
        <v>31.0</v>
      </c>
      <c r="C14" s="12">
        <f>SUMIF(Cleaned_Data!$C$12:$C$61,A14,Cleaned_Data!$G$12:$G$61)</f>
        <v>17860.0</v>
      </c>
      <c r="D14" s="13">
        <f>C14/B14</f>
        <v>576.1290322580645</v>
      </c>
    </row>
    <row r="15" spans="8:8" ht="15.0" customHeight="1">
      <c r="A15" s="11" t="s">
        <v>14</v>
      </c>
      <c r="B15" s="11">
        <f>COUNTIF(Cleaned_Data!$C$12:$C$61,A15)</f>
        <v>19.0</v>
      </c>
      <c r="C15" s="12">
        <f>SUMIF(Cleaned_Data!$C$12:$C$61,A15,Cleaned_Data!$G$12:$G$61)</f>
        <v>18810.0</v>
      </c>
      <c r="D15" s="13">
        <f>C15/B15</f>
        <v>990.0</v>
      </c>
    </row>
    <row r="16" spans="8:8" ht="15.0" customHeight="1">
      <c r="A16" s="9" t="s">
        <v>121</v>
      </c>
      <c r="B16" s="9">
        <f>SUM(B14:B15)</f>
        <v>50.0</v>
      </c>
      <c r="C16" s="14">
        <f>SUM(C14:C15)</f>
        <v>36670.0</v>
      </c>
      <c r="D16" s="15">
        <f>C16/B16</f>
        <v>733.4</v>
      </c>
    </row>
    <row r="18" spans="8:8" ht="15.0" customHeight="1">
      <c r="A18" s="8" t="s">
        <v>122</v>
      </c>
      <c r="B18" s="8"/>
      <c r="C18" s="8"/>
      <c r="D18" s="8"/>
      <c r="E18" s="8"/>
      <c r="F18" s="8"/>
    </row>
    <row r="19" spans="8:8" ht="39.75" customHeight="1">
      <c r="A19" s="16" t="s">
        <v>123</v>
      </c>
      <c r="B19" s="16"/>
      <c r="C19" s="16"/>
      <c r="D19" s="16"/>
      <c r="E19" s="16"/>
      <c r="F19" s="16"/>
    </row>
    <row r="21" spans="8:8" ht="15.0" customHeight="1">
      <c r="A21" s="8" t="s">
        <v>124</v>
      </c>
      <c r="B21" s="8"/>
      <c r="C21" s="8"/>
      <c r="D21" s="8"/>
      <c r="E21" s="8"/>
      <c r="F21" s="8"/>
    </row>
    <row r="22" spans="8:8" ht="15.0" customHeight="1">
      <c r="A22" s="3" t="s">
        <v>4</v>
      </c>
      <c r="B22" s="3" t="s">
        <v>118</v>
      </c>
      <c r="C22" s="3" t="s">
        <v>119</v>
      </c>
      <c r="D22" s="3" t="s">
        <v>120</v>
      </c>
    </row>
    <row r="23" spans="8:8" ht="15.0" customHeight="1">
      <c r="A23" s="11" t="s">
        <v>15</v>
      </c>
      <c r="B23" s="11">
        <f>COUNTIF(Cleaned_Data!$D$12:$D$61,A23)</f>
        <v>13.0</v>
      </c>
      <c r="C23" s="12">
        <f>SUMIF(Cleaned_Data!$D$12:$D$61,A23,Cleaned_Data!$G$12:$G$61)</f>
        <v>9190.0</v>
      </c>
      <c r="D23" s="13">
        <f>C23/B23</f>
        <v>706.9230769230769</v>
      </c>
    </row>
    <row r="24" spans="8:8" ht="15.0" customHeight="1">
      <c r="A24" s="11" t="s">
        <v>30</v>
      </c>
      <c r="B24" s="11">
        <f>COUNTIF(Cleaned_Data!$D$12:$D$61,A24)</f>
        <v>16.0</v>
      </c>
      <c r="C24" s="12">
        <f>SUMIF(Cleaned_Data!$D$12:$D$61,A24,Cleaned_Data!$G$12:$G$61)</f>
        <v>14050.0</v>
      </c>
      <c r="D24" s="13">
        <f>C24/B24</f>
        <v>878.125</v>
      </c>
    </row>
    <row r="25" spans="8:8" ht="15.0" customHeight="1">
      <c r="A25" s="11" t="s">
        <v>20</v>
      </c>
      <c r="B25" s="11">
        <f>COUNTIF(Cleaned_Data!$D$12:$D$61,A25)</f>
        <v>8.0</v>
      </c>
      <c r="C25" s="12">
        <f>SUMIF(Cleaned_Data!$D$12:$D$61,A25,Cleaned_Data!$G$12:$G$61)</f>
        <v>5890.0</v>
      </c>
      <c r="D25" s="13">
        <f>C25/B25</f>
        <v>736.25</v>
      </c>
    </row>
    <row r="26" spans="8:8" ht="15.0" customHeight="1">
      <c r="A26" s="11" t="s">
        <v>23</v>
      </c>
      <c r="B26" s="11">
        <f>COUNTIF(Cleaned_Data!$D$12:$D$61,A26)</f>
        <v>13.0</v>
      </c>
      <c r="C26" s="12">
        <f>SUMIF(Cleaned_Data!$D$12:$D$61,A26,Cleaned_Data!$G$12:$G$61)</f>
        <v>7540.0</v>
      </c>
      <c r="D26" s="13">
        <f>C26/B26</f>
        <v>580.0</v>
      </c>
    </row>
    <row r="27" spans="8:8" ht="15.0" customHeight="1">
      <c r="A27" s="9" t="s">
        <v>121</v>
      </c>
      <c r="B27" s="9">
        <f>SUM(B23:B26)</f>
        <v>50.0</v>
      </c>
      <c r="C27" s="14">
        <f>SUM(C23:C26)</f>
        <v>36670.0</v>
      </c>
      <c r="D27" s="15">
        <f>C27/B27</f>
        <v>733.4</v>
      </c>
    </row>
    <row r="29" spans="8:8" ht="15.0" customHeight="1">
      <c r="A29" s="8" t="s">
        <v>125</v>
      </c>
      <c r="B29" s="8"/>
      <c r="C29" s="8"/>
      <c r="D29" s="8"/>
      <c r="E29" s="8"/>
      <c r="F29" s="8"/>
    </row>
    <row r="30" spans="8:8" ht="15.0" customHeight="1">
      <c r="A30" s="3" t="s">
        <v>5</v>
      </c>
      <c r="B30" s="3" t="s">
        <v>118</v>
      </c>
      <c r="C30" s="3" t="s">
        <v>119</v>
      </c>
      <c r="D30" s="3" t="s">
        <v>120</v>
      </c>
    </row>
    <row r="31" spans="8:8" ht="15.0" customHeight="1">
      <c r="A31" s="11" t="s">
        <v>16</v>
      </c>
      <c r="B31" s="11">
        <f>COUNTIF(Cleaned_Data!$E$12:$E$61,A31)</f>
        <v>18.0</v>
      </c>
      <c r="C31" s="12">
        <f>SUMIF(Cleaned_Data!$E$12:$E$61,A31,Cleaned_Data!$G$12:$G$61)</f>
        <v>11360.0</v>
      </c>
      <c r="D31" s="13">
        <f>C31/B31</f>
        <v>631.1111111111111</v>
      </c>
    </row>
    <row r="32" spans="8:8" ht="15.0" customHeight="1">
      <c r="A32" s="11" t="s">
        <v>21</v>
      </c>
      <c r="B32" s="11">
        <f>COUNTIF(Cleaned_Data!$E$12:$E$61,A32)</f>
        <v>19.0</v>
      </c>
      <c r="C32" s="12">
        <f>SUMIF(Cleaned_Data!$E$12:$E$61,A32,Cleaned_Data!$G$12:$G$61)</f>
        <v>14440.0</v>
      </c>
      <c r="D32" s="13">
        <f>C32/B32</f>
        <v>760.0</v>
      </c>
    </row>
    <row r="33" spans="8:8" ht="15.0" customHeight="1">
      <c r="A33" s="11" t="s">
        <v>28</v>
      </c>
      <c r="B33" s="11">
        <f>COUNTIF(Cleaned_Data!$E$12:$E$61,A33)</f>
        <v>13.0</v>
      </c>
      <c r="C33" s="12">
        <f>SUMIF(Cleaned_Data!$E$12:$E$61,A33,Cleaned_Data!$G$12:$G$61)</f>
        <v>10870.0</v>
      </c>
      <c r="D33" s="13">
        <f>C33/B33</f>
        <v>836.1538461538462</v>
      </c>
    </row>
    <row r="35" spans="8:8" ht="15.0" customHeight="1">
      <c r="A35" s="6" t="s">
        <v>126</v>
      </c>
      <c r="B35" s="6"/>
      <c r="C35" s="6"/>
      <c r="D35" s="17" t="str">
        <f>INDEX(A31:A33,MATCH(MAX(B31:B33),B31:B33,0))</f>
        <v>Combo</v>
      </c>
    </row>
    <row r="37" spans="8:8" ht="15.0" customHeight="1">
      <c r="A37" s="8" t="s">
        <v>127</v>
      </c>
      <c r="B37" s="8"/>
      <c r="C37" s="8"/>
      <c r="D37" s="8"/>
      <c r="E37" s="8"/>
      <c r="F37" s="8"/>
    </row>
    <row r="38" spans="8:8" ht="15.0" customHeight="1">
      <c r="A38" s="3" t="s">
        <v>4</v>
      </c>
      <c r="B38" s="3" t="s">
        <v>128</v>
      </c>
      <c r="C38" s="3" t="s">
        <v>129</v>
      </c>
      <c r="D38" s="3" t="s">
        <v>130</v>
      </c>
    </row>
    <row r="39" spans="8:8" ht="15.0" customHeight="1">
      <c r="A39" s="11" t="s">
        <v>15</v>
      </c>
      <c r="B39" s="10">
        <f>_xlfn.AVERAGEIF(Cleaned_Data!$D$12:$D$61,A39,Cleaned_Data!$I$12:$I$61)</f>
        <v>16.923076923076923</v>
      </c>
      <c r="C39" s="10">
        <f>_xlfn.AVERAGEIF(Cleaned_Data!$D$12:$D$61,A39,Cleaned_Data!$J$12:$J$61)</f>
        <v>40.53846153846154</v>
      </c>
      <c r="D39" s="10">
        <f>B39+C39</f>
        <v>57.461538461538396</v>
      </c>
    </row>
    <row r="40" spans="8:8" ht="15.0" customHeight="1">
      <c r="A40" s="11" t="s">
        <v>30</v>
      </c>
      <c r="B40" s="10">
        <f>_xlfn.AVERAGEIF(Cleaned_Data!$D$12:$D$61,A40,Cleaned_Data!$I$12:$I$61)</f>
        <v>18.9375</v>
      </c>
      <c r="C40" s="10">
        <f>_xlfn.AVERAGEIF(Cleaned_Data!$D$12:$D$61,A40,Cleaned_Data!$J$12:$J$61)</f>
        <v>37.5</v>
      </c>
      <c r="D40" s="10">
        <f>B40+C40</f>
        <v>56.4375</v>
      </c>
    </row>
    <row r="41" spans="8:8" ht="15.0" customHeight="1">
      <c r="A41" s="11" t="s">
        <v>20</v>
      </c>
      <c r="B41" s="10">
        <f>_xlfn.AVERAGEIF(Cleaned_Data!$D$12:$D$61,A41,Cleaned_Data!$I$12:$I$61)</f>
        <v>18.5</v>
      </c>
      <c r="C41" s="10">
        <f>_xlfn.AVERAGEIF(Cleaned_Data!$D$12:$D$61,A41,Cleaned_Data!$J$12:$J$61)</f>
        <v>33.125</v>
      </c>
      <c r="D41" s="10">
        <f>B41+C41</f>
        <v>51.625</v>
      </c>
    </row>
    <row r="42" spans="8:8" ht="15.0" customHeight="1">
      <c r="A42" s="11" t="s">
        <v>23</v>
      </c>
      <c r="B42" s="10">
        <f>_xlfn.AVERAGEIF(Cleaned_Data!$D$12:$D$61,A42,Cleaned_Data!$I$12:$I$61)</f>
        <v>18.153846153846153</v>
      </c>
      <c r="C42" s="10">
        <f>_xlfn.AVERAGEIF(Cleaned_Data!$D$12:$D$61,A42,Cleaned_Data!$J$12:$J$61)</f>
        <v>31.46153846153846</v>
      </c>
      <c r="D42" s="10">
        <f>B42+C42</f>
        <v>49.6153846153847</v>
      </c>
    </row>
    <row r="44" spans="8:8" ht="15.0" customHeight="1">
      <c r="A44" s="6" t="s">
        <v>131</v>
      </c>
      <c r="B44" s="6"/>
      <c r="C44" s="6"/>
      <c r="D44" s="17" t="str">
        <f>INDEX(A39:A42,MATCH(MAX(D39:D42),D39:D42,0))</f>
        <v>North</v>
      </c>
    </row>
    <row r="46" spans="8:8" ht="15.0" customHeight="1">
      <c r="A46" s="8" t="s">
        <v>132</v>
      </c>
      <c r="B46" s="8"/>
      <c r="C46" s="8"/>
      <c r="D46" s="8"/>
      <c r="E46" s="8"/>
      <c r="F46" s="8"/>
    </row>
    <row r="47" spans="8:8" ht="15.0" customHeight="1">
      <c r="A47" s="6" t="s">
        <v>133</v>
      </c>
      <c r="B47" s="6"/>
      <c r="C47" s="6"/>
      <c r="D47" s="18">
        <f>CORREL(Cleaned_Data!$J$12:$J$61,Cleaned_Data!$K$12:$K$61)</f>
        <v>-0.6952731190957295</v>
      </c>
    </row>
    <row r="48" spans="8:8" ht="42.0" customHeight="1">
      <c r="A48" s="16" t="s">
        <v>134</v>
      </c>
      <c r="B48" s="16"/>
      <c r="C48" s="16"/>
      <c r="D48" s="16"/>
      <c r="E48" s="16"/>
      <c r="F48" s="16"/>
    </row>
    <row r="50" spans="8:8" ht="15.0" customHeight="1">
      <c r="A50" s="8" t="s">
        <v>135</v>
      </c>
      <c r="B50" s="8"/>
      <c r="C50" s="8"/>
      <c r="D50" s="8"/>
      <c r="E50" s="8"/>
      <c r="F50" s="8"/>
    </row>
    <row r="51" spans="8:8" ht="15.0" customHeight="1">
      <c r="A51" s="3" t="s">
        <v>12</v>
      </c>
      <c r="B51" s="3" t="s">
        <v>118</v>
      </c>
      <c r="C51" s="3" t="s">
        <v>120</v>
      </c>
    </row>
    <row r="52" spans="8:8" ht="15.0" customHeight="1">
      <c r="A52" s="11" t="s">
        <v>25</v>
      </c>
      <c r="B52" s="11">
        <f>COUNTIF(Cleaned_Data!$L$12:$L$61,A52)</f>
        <v>17.0</v>
      </c>
      <c r="C52" s="13">
        <f>_xlfn.AVERAGEIF(Cleaned_Data!$L$12:$L$61,A52,Cleaned_Data!$G$12:$G$61)</f>
        <v>658.2352941176471</v>
      </c>
    </row>
    <row r="53" spans="8:8" ht="15.0" customHeight="1">
      <c r="A53" s="11" t="s">
        <v>17</v>
      </c>
      <c r="B53" s="11">
        <f>COUNTIF(Cleaned_Data!$L$12:$L$61,A53)</f>
        <v>33.0</v>
      </c>
      <c r="C53" s="13">
        <f>_xlfn.AVERAGEIF(Cleaned_Data!$L$12:$L$61,A53,Cleaned_Data!$G$12:$G$61)</f>
        <v>772.1212121212121</v>
      </c>
    </row>
    <row r="55" spans="8:8" ht="15.0" customHeight="1">
      <c r="A55" s="7" t="s">
        <v>136</v>
      </c>
      <c r="B55" s="7"/>
      <c r="C55" s="7"/>
      <c r="D55" s="7"/>
      <c r="E55" s="7"/>
      <c r="F55" s="7"/>
    </row>
  </sheetData>
  <mergeCells count="15">
    <mergeCell ref="A1:F1"/>
    <mergeCell ref="A3:F3"/>
    <mergeCell ref="A12:F12"/>
    <mergeCell ref="A18:F18"/>
    <mergeCell ref="A19:F19"/>
    <mergeCell ref="A21:F21"/>
    <mergeCell ref="A29:F29"/>
    <mergeCell ref="A35:C35"/>
    <mergeCell ref="A37:F37"/>
    <mergeCell ref="A44:C44"/>
    <mergeCell ref="A46:F46"/>
    <mergeCell ref="A47:C47"/>
    <mergeCell ref="A48:F48"/>
    <mergeCell ref="A50:F50"/>
    <mergeCell ref="A55:F55"/>
  </mergeCells>
  <pageMargins left="0.75" right="0.75" top="1.0" bottom="1.0" header="0.511811023622047" footer="0.511811023622047"/>
</worksheet>
</file>

<file path=xl/worksheets/sheet5.xml><?xml version="1.0" encoding="utf-8"?>
<worksheet xmlns:r="http://schemas.openxmlformats.org/officeDocument/2006/relationships" xmlns="http://schemas.openxmlformats.org/spreadsheetml/2006/main">
  <dimension ref="A1:N13"/>
  <sheetViews>
    <sheetView workbookViewId="0">
      <pane ySplit="4" topLeftCell="A5" state="frozen" activePane="bottomLeft"/>
      <selection pane="bottomLeft" activeCell="A1" sqref="A1:G1"/>
    </sheetView>
  </sheetViews>
  <sheetFormatPr defaultRowHeight="15.0" defaultColWidth="10" zeroHeight="1"/>
  <cols>
    <col min="1" max="1" customWidth="1" width="12.0" style="1"/>
    <col min="2" max="2" customWidth="1" width="15.0" style="1"/>
    <col min="3" max="3" customWidth="1" width="16.0" style="1"/>
    <col min="4" max="4" customWidth="1" width="18.0" style="1"/>
    <col min="5" max="5" customWidth="1" width="22.0" style="1"/>
    <col min="6" max="6" customWidth="1" width="14.0" style="1"/>
  </cols>
  <sheetData>
    <row r="1" spans="8:8" ht="24.0" customHeight="1">
      <c r="A1" s="2" t="s">
        <v>137</v>
      </c>
      <c r="B1" s="2"/>
      <c r="C1" s="2"/>
      <c r="D1" s="2"/>
      <c r="E1" s="2"/>
      <c r="F1" s="2"/>
      <c r="G1" s="2"/>
    </row>
    <row r="2" spans="8:8" ht="48.0" customHeight="1">
      <c r="A2" s="16" t="s">
        <v>138</v>
      </c>
      <c r="B2" s="16"/>
      <c r="C2" s="16"/>
      <c r="D2" s="16"/>
      <c r="E2" s="16"/>
      <c r="F2" s="16"/>
      <c r="G2" s="16"/>
    </row>
    <row r="4" spans="8:8" ht="15.0" customHeight="1">
      <c r="A4" s="3" t="s">
        <v>4</v>
      </c>
      <c r="B4" s="3" t="s">
        <v>3</v>
      </c>
      <c r="C4" s="3" t="s">
        <v>118</v>
      </c>
      <c r="D4" s="3" t="s">
        <v>120</v>
      </c>
      <c r="E4" s="3" t="s">
        <v>139</v>
      </c>
      <c r="F4" s="3" t="s">
        <v>140</v>
      </c>
    </row>
    <row r="5" spans="8:8" ht="15.0" customHeight="1">
      <c r="A5" s="11" t="s">
        <v>15</v>
      </c>
      <c r="B5" s="11" t="s">
        <v>19</v>
      </c>
      <c r="C5" s="11">
        <f>_xlfn.COUNTIFS(Cleaned_Data!$D$12:$D$61,A5,Cleaned_Data!$C$12:$C$61,B5)</f>
        <v>7.0</v>
      </c>
      <c r="D5" s="13">
        <f>_xlfn.IFERROR(_xlfn.AVERAGEIFS(Cleaned_Data!$G$12:$G$61,Cleaned_Data!$D$12:$D$61,A5,Cleaned_Data!$C$12:$C$61,B5),0)</f>
        <v>674.2857142857143</v>
      </c>
      <c r="E5" s="10">
        <f>_xlfn.IFERROR(_xlfn.AVERAGEIFS(Cleaned_Data!$J$12:$J$61,Cleaned_Data!$D$12:$D$61,A5,Cleaned_Data!$C$12:$C$61,B5),0)</f>
        <v>41.142857142857146</v>
      </c>
      <c r="F5" s="10">
        <f>_xlfn.IFERROR(_xlfn.AVERAGEIFS(Cleaned_Data!$K$12:$K$61,Cleaned_Data!$D$12:$D$61,A5,Cleaned_Data!$C$12:$C$61,B5),0)</f>
        <v>3.8428571428571425</v>
      </c>
    </row>
    <row r="6" spans="8:8" ht="15.0" customHeight="1">
      <c r="A6" s="11" t="s">
        <v>15</v>
      </c>
      <c r="B6" s="11" t="s">
        <v>14</v>
      </c>
      <c r="C6" s="11">
        <f>_xlfn.COUNTIFS(Cleaned_Data!$D$12:$D$61,A6,Cleaned_Data!$C$12:$C$61,B6)</f>
        <v>6.0</v>
      </c>
      <c r="D6" s="13">
        <f>_xlfn.IFERROR(_xlfn.AVERAGEIFS(Cleaned_Data!$G$12:$G$61,Cleaned_Data!$D$12:$D$61,A6,Cleaned_Data!$C$12:$C$61,B6),0)</f>
        <v>745.0</v>
      </c>
      <c r="E6" s="10">
        <f>_xlfn.IFERROR(_xlfn.AVERAGEIFS(Cleaned_Data!$J$12:$J$61,Cleaned_Data!$D$12:$D$61,A6,Cleaned_Data!$C$12:$C$61,B6),0)</f>
        <v>39.833333333333336</v>
      </c>
      <c r="F6" s="10">
        <f>_xlfn.IFERROR(_xlfn.AVERAGEIFS(Cleaned_Data!$K$12:$K$61,Cleaned_Data!$D$12:$D$61,A6,Cleaned_Data!$C$12:$C$61,B6),0)</f>
        <v>3.9000000000000004</v>
      </c>
    </row>
    <row r="7" spans="8:8" ht="15.0" customHeight="1">
      <c r="A7" s="11" t="s">
        <v>30</v>
      </c>
      <c r="B7" s="11" t="s">
        <v>19</v>
      </c>
      <c r="C7" s="11">
        <f>_xlfn.COUNTIFS(Cleaned_Data!$D$12:$D$61,A7,Cleaned_Data!$C$12:$C$61,B7)</f>
        <v>8.0</v>
      </c>
      <c r="D7" s="13">
        <f>_xlfn.IFERROR(_xlfn.AVERAGEIFS(Cleaned_Data!$G$12:$G$61,Cleaned_Data!$D$12:$D$61,A7,Cleaned_Data!$C$12:$C$61,B7),0)</f>
        <v>443.75</v>
      </c>
      <c r="E7" s="10">
        <f>_xlfn.IFERROR(_xlfn.AVERAGEIFS(Cleaned_Data!$J$12:$J$61,Cleaned_Data!$D$12:$D$61,A7,Cleaned_Data!$C$12:$C$61,B7),0)</f>
        <v>33.375</v>
      </c>
      <c r="F7" s="10">
        <f>_xlfn.IFERROR(_xlfn.AVERAGEIFS(Cleaned_Data!$K$12:$K$61,Cleaned_Data!$D$12:$D$61,A7,Cleaned_Data!$C$12:$C$61,B7),0)</f>
        <v>4.3</v>
      </c>
    </row>
    <row r="8" spans="8:8" ht="15.0" customHeight="1">
      <c r="A8" s="11" t="s">
        <v>30</v>
      </c>
      <c r="B8" s="11" t="s">
        <v>14</v>
      </c>
      <c r="C8" s="11">
        <f>_xlfn.COUNTIFS(Cleaned_Data!$D$12:$D$61,A8,Cleaned_Data!$C$12:$C$61,B8)</f>
        <v>8.0</v>
      </c>
      <c r="D8" s="13">
        <f>_xlfn.IFERROR(_xlfn.AVERAGEIFS(Cleaned_Data!$G$12:$G$61,Cleaned_Data!$D$12:$D$61,A8,Cleaned_Data!$C$12:$C$61,B8),0)</f>
        <v>1312.5</v>
      </c>
      <c r="E8" s="10">
        <f>_xlfn.IFERROR(_xlfn.AVERAGEIFS(Cleaned_Data!$J$12:$J$61,Cleaned_Data!$D$12:$D$61,A8,Cleaned_Data!$C$12:$C$61,B8),0)</f>
        <v>41.625</v>
      </c>
      <c r="F8" s="10">
        <f>_xlfn.IFERROR(_xlfn.AVERAGEIFS(Cleaned_Data!$K$12:$K$61,Cleaned_Data!$D$12:$D$61,A8,Cleaned_Data!$C$12:$C$61,B8),0)</f>
        <v>3.9499999999999997</v>
      </c>
    </row>
    <row r="9" spans="8:8" ht="15.0" customHeight="1">
      <c r="A9" s="11" t="s">
        <v>20</v>
      </c>
      <c r="B9" s="11" t="s">
        <v>19</v>
      </c>
      <c r="C9" s="11">
        <f>_xlfn.COUNTIFS(Cleaned_Data!$D$12:$D$61,A9,Cleaned_Data!$C$12:$C$61,B9)</f>
        <v>7.0</v>
      </c>
      <c r="D9" s="13">
        <f>_xlfn.IFERROR(_xlfn.AVERAGEIFS(Cleaned_Data!$G$12:$G$61,Cleaned_Data!$D$12:$D$61,A9,Cleaned_Data!$C$12:$C$61,B9),0)</f>
        <v>790.0</v>
      </c>
      <c r="E9" s="10">
        <f>_xlfn.IFERROR(_xlfn.AVERAGEIFS(Cleaned_Data!$J$12:$J$61,Cleaned_Data!$D$12:$D$61,A9,Cleaned_Data!$C$12:$C$61,B9),0)</f>
        <v>29.428571428571427</v>
      </c>
      <c r="F9" s="10">
        <f>_xlfn.IFERROR(_xlfn.AVERAGEIFS(Cleaned_Data!$K$12:$K$61,Cleaned_Data!$D$12:$D$61,A9,Cleaned_Data!$C$12:$C$61,B9),0)</f>
        <v>4.128571428571428</v>
      </c>
    </row>
    <row r="10" spans="8:8" ht="15.0" customHeight="1">
      <c r="A10" s="11" t="s">
        <v>20</v>
      </c>
      <c r="B10" s="11" t="s">
        <v>14</v>
      </c>
      <c r="C10" s="11">
        <f>_xlfn.COUNTIFS(Cleaned_Data!$D$12:$D$61,A10,Cleaned_Data!$C$12:$C$61,B10)</f>
        <v>1.0</v>
      </c>
      <c r="D10" s="13">
        <f>_xlfn.IFERROR(_xlfn.AVERAGEIFS(Cleaned_Data!$G$12:$G$61,Cleaned_Data!$D$12:$D$61,A10,Cleaned_Data!$C$12:$C$61,B10),0)</f>
        <v>360.0</v>
      </c>
      <c r="E10" s="10">
        <f>_xlfn.IFERROR(_xlfn.AVERAGEIFS(Cleaned_Data!$J$12:$J$61,Cleaned_Data!$D$12:$D$61,A10,Cleaned_Data!$C$12:$C$61,B10),0)</f>
        <v>59.0</v>
      </c>
      <c r="F10" s="10">
        <f>_xlfn.IFERROR(_xlfn.AVERAGEIFS(Cleaned_Data!$K$12:$K$61,Cleaned_Data!$D$12:$D$61,A10,Cleaned_Data!$C$12:$C$61,B10),0)</f>
        <v>3.6</v>
      </c>
    </row>
    <row r="11" spans="8:8" ht="15.0" customHeight="1">
      <c r="A11" s="11" t="s">
        <v>23</v>
      </c>
      <c r="B11" s="11" t="s">
        <v>19</v>
      </c>
      <c r="C11" s="11">
        <f>_xlfn.COUNTIFS(Cleaned_Data!$D$12:$D$61,A11,Cleaned_Data!$C$12:$C$61,B11)</f>
        <v>9.0</v>
      </c>
      <c r="D11" s="13">
        <f>_xlfn.IFERROR(_xlfn.AVERAGEIFS(Cleaned_Data!$G$12:$G$61,Cleaned_Data!$D$12:$D$61,A11,Cleaned_Data!$C$12:$C$61,B11),0)</f>
        <v>451.1111111111111</v>
      </c>
      <c r="E11" s="10">
        <f>_xlfn.IFERROR(_xlfn.AVERAGEIFS(Cleaned_Data!$J$12:$J$61,Cleaned_Data!$D$12:$D$61,A11,Cleaned_Data!$C$12:$C$61,B11),0)</f>
        <v>32.77777777777778</v>
      </c>
      <c r="F11" s="10">
        <f>_xlfn.IFERROR(_xlfn.AVERAGEIFS(Cleaned_Data!$K$12:$K$61,Cleaned_Data!$D$12:$D$61,A11,Cleaned_Data!$C$12:$C$61,B11),0)</f>
        <v>4.222222222222223</v>
      </c>
    </row>
    <row r="12" spans="8:8" ht="15.0" customHeight="1">
      <c r="A12" s="11" t="s">
        <v>23</v>
      </c>
      <c r="B12" s="11" t="s">
        <v>14</v>
      </c>
      <c r="C12" s="11">
        <f>_xlfn.COUNTIFS(Cleaned_Data!$D$12:$D$61,A12,Cleaned_Data!$C$12:$C$61,B12)</f>
        <v>4.0</v>
      </c>
      <c r="D12" s="13">
        <f>_xlfn.IFERROR(_xlfn.AVERAGEIFS(Cleaned_Data!$G$12:$G$61,Cleaned_Data!$D$12:$D$61,A12,Cleaned_Data!$C$12:$C$61,B12),0)</f>
        <v>870.0</v>
      </c>
      <c r="E12" s="10">
        <f>_xlfn.IFERROR(_xlfn.AVERAGEIFS(Cleaned_Data!$J$12:$J$61,Cleaned_Data!$D$12:$D$61,A12,Cleaned_Data!$C$12:$C$61,B12),0)</f>
        <v>28.5</v>
      </c>
      <c r="F12" s="10">
        <f>_xlfn.IFERROR(_xlfn.AVERAGEIFS(Cleaned_Data!$K$12:$K$61,Cleaned_Data!$D$12:$D$61,A12,Cleaned_Data!$C$12:$C$61,B12),0)</f>
        <v>4.3</v>
      </c>
    </row>
    <row r="13" spans="8:8" ht="15.0" customHeight="1">
      <c r="A13" s="9" t="s">
        <v>141</v>
      </c>
      <c r="B13" s="9"/>
      <c r="C13" s="9">
        <f>SUM(C5:C12)</f>
        <v>50.0</v>
      </c>
      <c r="D13" s="15">
        <f>AVERAGE(Cleaned_Data!$G$12:$G$61)</f>
        <v>733.4</v>
      </c>
      <c r="E13" s="19">
        <f>AVERAGE(Cleaned_Data!$J$12:$J$61)</f>
        <v>36.02</v>
      </c>
      <c r="F13" s="19">
        <f>AVERAGE(Cleaned_Data!$K$12:$K$61)</f>
        <v>4.080000000000001</v>
      </c>
    </row>
  </sheetData>
  <mergeCells count="3">
    <mergeCell ref="A1:G1"/>
    <mergeCell ref="A2:G2"/>
    <mergeCell ref="A13:B13"/>
  </mergeCells>
  <pageMargins left="0.75" right="0.75" top="1.0" bottom="1.0" header="0.511811023622047" footer="0.511811023622047"/>
</worksheet>
</file>

<file path=xl/worksheets/sheet6.xml><?xml version="1.0" encoding="utf-8"?>
<worksheet xmlns:r="http://schemas.openxmlformats.org/officeDocument/2006/relationships" xmlns="http://schemas.openxmlformats.org/spreadsheetml/2006/main">
  <dimension ref="A1:L22"/>
  <sheetViews>
    <sheetView workbookViewId="0" topLeftCell="O1" zoomScale="55">
      <selection activeCell="A18" sqref="A18"/>
    </sheetView>
  </sheetViews>
  <sheetFormatPr defaultRowHeight="15.0" defaultColWidth="10" zeroHeight="1"/>
  <cols>
    <col min="1" max="1" customWidth="1" width="16.0" style="1"/>
    <col min="2" max="2" customWidth="1" width="22.0" style="1"/>
    <col min="3" max="5" customWidth="1" width="14.0" style="1"/>
  </cols>
  <sheetData>
    <row r="1" spans="8:8" ht="24.0" customHeight="1">
      <c r="A1" s="2" t="s">
        <v>142</v>
      </c>
      <c r="B1" s="2"/>
      <c r="C1" s="2"/>
      <c r="D1" s="2"/>
      <c r="E1" s="2"/>
    </row>
    <row r="3" spans="8:8" ht="15.0" customHeight="1">
      <c r="A3" s="20" t="s">
        <v>143</v>
      </c>
    </row>
    <row r="4" spans="8:8" ht="15.0" customHeight="1">
      <c r="A4" s="3" t="s">
        <v>4</v>
      </c>
      <c r="B4" s="3" t="s">
        <v>118</v>
      </c>
    </row>
    <row r="5" spans="8:8" ht="15.0" customHeight="1">
      <c r="A5" s="11" t="s">
        <v>15</v>
      </c>
      <c r="B5" s="11">
        <f>COUNTIF(Cleaned_Data!$D$12:$D$61,A5)</f>
        <v>13.0</v>
      </c>
    </row>
    <row r="6" spans="8:8" ht="15.0" customHeight="1">
      <c r="A6" s="11" t="s">
        <v>30</v>
      </c>
      <c r="B6" s="11">
        <f>COUNTIF(Cleaned_Data!$D$12:$D$61,A6)</f>
        <v>16.0</v>
      </c>
    </row>
    <row r="7" spans="8:8" ht="15.0" customHeight="1">
      <c r="A7" s="11" t="s">
        <v>20</v>
      </c>
      <c r="B7" s="11">
        <f>COUNTIF(Cleaned_Data!$D$12:$D$61,A7)</f>
        <v>8.0</v>
      </c>
    </row>
    <row r="8" spans="8:8" ht="15.0" customHeight="1">
      <c r="A8" s="11" t="s">
        <v>23</v>
      </c>
      <c r="B8" s="11">
        <f>COUNTIF(Cleaned_Data!$D$12:$D$61,A8)</f>
        <v>13.0</v>
      </c>
    </row>
    <row r="11" spans="8:8" ht="15.0" customHeight="1">
      <c r="A11" s="20" t="s">
        <v>144</v>
      </c>
    </row>
    <row r="12" spans="8:8" ht="15.0" customHeight="1">
      <c r="A12" s="3" t="s">
        <v>3</v>
      </c>
      <c r="B12" s="3" t="s">
        <v>120</v>
      </c>
    </row>
    <row r="13" spans="8:8" ht="15.0" customHeight="1">
      <c r="A13" s="11" t="s">
        <v>19</v>
      </c>
      <c r="B13" s="13">
        <f>_xlfn.AVERAGEIF(Cleaned_Data!$C$12:$C$61,A13,Cleaned_Data!$G$12:$G$61)</f>
        <v>576.1290322580645</v>
      </c>
    </row>
    <row r="14" spans="8:8" ht="15.0" customHeight="1">
      <c r="A14" s="11" t="s">
        <v>14</v>
      </c>
      <c r="B14" s="13">
        <f>_xlfn.AVERAGEIF(Cleaned_Data!$C$12:$C$61,A14,Cleaned_Data!$G$12:$G$61)</f>
        <v>990.0</v>
      </c>
    </row>
    <row r="17" spans="8:8" ht="15.0" customHeight="1">
      <c r="A17" s="20" t="s">
        <v>145</v>
      </c>
    </row>
    <row r="18" spans="8:8" ht="15.0" customHeight="1">
      <c r="A18" s="3" t="s">
        <v>4</v>
      </c>
      <c r="B18" s="3" t="s">
        <v>140</v>
      </c>
    </row>
    <row r="19" spans="8:8" ht="15.0" customHeight="1">
      <c r="A19" s="11" t="s">
        <v>15</v>
      </c>
      <c r="B19" s="10">
        <f>_xlfn.AVERAGEIF(Cleaned_Data!$D$12:$D$61,A19,Cleaned_Data!$K$12:$K$61)</f>
        <v>3.869230769230769</v>
      </c>
    </row>
    <row r="20" spans="8:8" ht="15.0" customHeight="1">
      <c r="A20" s="11" t="s">
        <v>30</v>
      </c>
      <c r="B20" s="10">
        <f>_xlfn.AVERAGEIF(Cleaned_Data!$D$12:$D$61,A20,Cleaned_Data!$K$12:$K$61)</f>
        <v>4.125</v>
      </c>
    </row>
    <row r="21" spans="8:8" ht="15.0" customHeight="1">
      <c r="A21" s="11" t="s">
        <v>20</v>
      </c>
      <c r="B21" s="10">
        <f>_xlfn.AVERAGEIF(Cleaned_Data!$D$12:$D$61,A21,Cleaned_Data!$K$12:$K$61)</f>
        <v>4.0625</v>
      </c>
    </row>
    <row r="22" spans="8:8" ht="15.0" customHeight="1">
      <c r="A22" s="11" t="s">
        <v>23</v>
      </c>
      <c r="B22" s="10">
        <f>_xlfn.AVERAGEIF(Cleaned_Data!$D$12:$D$61,A22,Cleaned_Data!$K$12:$K$61)</f>
        <v>4.246153846153846</v>
      </c>
    </row>
  </sheetData>
  <mergeCells count="1">
    <mergeCell ref="A1:E1"/>
  </mergeCells>
  <pageMargins left="0.75" right="0.75" top="1.0" bottom="1.0" header="0.511811023622047" footer="0.511811023622047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P53"/>
  <sheetViews>
    <sheetView workbookViewId="0">
      <selection activeCell="A1" sqref="A1:F1"/>
    </sheetView>
  </sheetViews>
  <sheetFormatPr defaultRowHeight="15.0" defaultColWidth="10" zeroHeight="1"/>
  <cols>
    <col min="1" max="1" customWidth="1" width="7.0" style="1"/>
    <col min="2" max="2" customWidth="1" width="12.0" style="1"/>
    <col min="3" max="3" customWidth="1" width="13.0" style="1"/>
    <col min="4" max="4" customWidth="1" width="15.0" style="1"/>
    <col min="5" max="5" customWidth="1" width="10.0" style="1"/>
    <col min="6" max="6" customWidth="1" width="12.0" style="1"/>
    <col min="8" max="9" customWidth="1" width="14.0" style="1"/>
  </cols>
  <sheetData>
    <row r="1" spans="8:8" ht="24.0" customHeight="1">
      <c r="A1" s="2" t="s">
        <v>146</v>
      </c>
      <c r="B1" s="2"/>
      <c r="C1" s="2"/>
      <c r="D1" s="2"/>
      <c r="E1" s="2"/>
      <c r="F1" s="2"/>
    </row>
    <row r="2" spans="8:8" ht="27.75" customHeight="1">
      <c r="A2" s="16" t="s">
        <v>147</v>
      </c>
      <c r="B2" s="16"/>
      <c r="C2" s="16"/>
      <c r="D2" s="16"/>
      <c r="E2" s="16"/>
      <c r="F2" s="16"/>
    </row>
    <row r="3" spans="8:8" ht="15.0" customHeight="1">
      <c r="H3" s="21" t="s">
        <v>148</v>
      </c>
      <c r="I3" s="21" t="s">
        <v>149</v>
      </c>
    </row>
    <row r="4" spans="8:8" ht="15.0" customHeight="1">
      <c r="A4" s="3" t="s">
        <v>150</v>
      </c>
      <c r="B4" s="3" t="s">
        <v>1</v>
      </c>
      <c r="C4" s="3" t="s">
        <v>7</v>
      </c>
      <c r="D4" s="3" t="s">
        <v>3</v>
      </c>
      <c r="E4" s="3" t="s">
        <v>4</v>
      </c>
      <c r="F4" s="3" t="s">
        <v>5</v>
      </c>
      <c r="H4" s="1">
        <f>RANK(Cleaned_Data!G12,Cleaned_Data!$G$12:$G$61)</f>
        <v>45.0</v>
      </c>
      <c r="I4" s="1" t="str">
        <f>Cleaned_Data!A12</f>
        <v>FD10000</v>
      </c>
    </row>
    <row r="5" spans="8:8" ht="15.0" customHeight="1">
      <c r="A5" s="11">
        <v>1.0</v>
      </c>
      <c r="B5" s="11" t="str">
        <f>INDEX($I$4:$I$53,MATCH(1,$H$4:$H$53,0))</f>
        <v>FD10012</v>
      </c>
      <c r="C5" s="12">
        <f>INDEX(Cleaned_Data!$G$12:$G$61,MATCH(B5,Cleaned_Data!$A$12:$A$61,0))</f>
        <v>2500.0</v>
      </c>
      <c r="D5" s="11" t="str">
        <f>INDEX(Cleaned_Data!$C$12:$C$61,MATCH(B5,Cleaned_Data!$A$12:$A$61,0))</f>
        <v>Returning</v>
      </c>
      <c r="E5" s="11" t="str">
        <f>INDEX(Cleaned_Data!$D$12:$D$61,MATCH(B5,Cleaned_Data!$A$12:$A$61,0))</f>
        <v>South</v>
      </c>
      <c r="F5" s="11" t="str">
        <f>INDEX(Cleaned_Data!$E$12:$E$61,MATCH(B5,Cleaned_Data!$A$12:$A$61,0))</f>
        <v>Large</v>
      </c>
      <c r="H5" s="1">
        <f>RANK(Cleaned_Data!G13,Cleaned_Data!$G$12:$G$61)+COUNTIF(Cleaned_Data!$G$12:G12,Cleaned_Data!G13)</f>
        <v>33.0</v>
      </c>
      <c r="I5" s="1" t="str">
        <f>Cleaned_Data!A13</f>
        <v>FD10001</v>
      </c>
    </row>
    <row r="6" spans="8:8" ht="15.0" customHeight="1">
      <c r="A6" s="11">
        <v>2.0</v>
      </c>
      <c r="B6" s="11" t="str">
        <f>INDEX($I$4:$I$53,MATCH(2,$H$4:$H$53,0))</f>
        <v>FD10042</v>
      </c>
      <c r="C6" s="12">
        <f>INDEX(Cleaned_Data!$G$12:$G$61,MATCH(B6,Cleaned_Data!$A$12:$A$61,0))</f>
        <v>2500.0</v>
      </c>
      <c r="D6" s="11" t="str">
        <f>INDEX(Cleaned_Data!$C$12:$C$61,MATCH(B6,Cleaned_Data!$A$12:$A$61,0))</f>
        <v>Returning</v>
      </c>
      <c r="E6" s="11" t="str">
        <f>INDEX(Cleaned_Data!$D$12:$D$61,MATCH(B6,Cleaned_Data!$A$12:$A$61,0))</f>
        <v>Central</v>
      </c>
      <c r="F6" s="11" t="str">
        <f>INDEX(Cleaned_Data!$E$12:$E$61,MATCH(B6,Cleaned_Data!$A$12:$A$61,0))</f>
        <v>Combo</v>
      </c>
      <c r="H6" s="1">
        <f>RANK(Cleaned_Data!G14,Cleaned_Data!$G$12:$G$61)+COUNTIF(Cleaned_Data!$G$12:G13,Cleaned_Data!G14)</f>
        <v>48.0</v>
      </c>
      <c r="I6" s="1" t="str">
        <f>Cleaned_Data!A14</f>
        <v>FD10002</v>
      </c>
    </row>
    <row r="7" spans="8:8" ht="15.0" customHeight="1">
      <c r="A7" s="11">
        <v>3.0</v>
      </c>
      <c r="B7" s="11" t="str">
        <f>INDEX($I$4:$I$53,MATCH(3,$H$4:$H$53,0))</f>
        <v>FD10043</v>
      </c>
      <c r="C7" s="12">
        <f>INDEX(Cleaned_Data!$G$12:$G$61,MATCH(B7,Cleaned_Data!$A$12:$A$61,0))</f>
        <v>2000.0</v>
      </c>
      <c r="D7" s="11" t="str">
        <f>INDEX(Cleaned_Data!$C$12:$C$61,MATCH(B7,Cleaned_Data!$A$12:$A$61,0))</f>
        <v>Returning</v>
      </c>
      <c r="E7" s="11" t="str">
        <f>INDEX(Cleaned_Data!$D$12:$D$61,MATCH(B7,Cleaned_Data!$A$12:$A$61,0))</f>
        <v>North</v>
      </c>
      <c r="F7" s="11" t="str">
        <f>INDEX(Cleaned_Data!$E$12:$E$61,MATCH(B7,Cleaned_Data!$A$12:$A$61,0))</f>
        <v>Large</v>
      </c>
      <c r="H7" s="1">
        <f>RANK(Cleaned_Data!G15,Cleaned_Data!$G$12:$G$61)+COUNTIF(Cleaned_Data!$G$12:G14,Cleaned_Data!G15)</f>
        <v>49.0</v>
      </c>
      <c r="I7" s="1" t="str">
        <f>Cleaned_Data!A15</f>
        <v>FD10003</v>
      </c>
    </row>
    <row r="8" spans="8:8" ht="15.0" customHeight="1">
      <c r="A8" s="11">
        <v>4.0</v>
      </c>
      <c r="B8" s="11" t="str">
        <f>INDEX($I$4:$I$53,MATCH(4,$H$4:$H$53,0))</f>
        <v>FD10013</v>
      </c>
      <c r="C8" s="12">
        <f>INDEX(Cleaned_Data!$G$12:$G$61,MATCH(B8,Cleaned_Data!$A$12:$A$61,0))</f>
        <v>1750.0</v>
      </c>
      <c r="D8" s="11" t="str">
        <f>INDEX(Cleaned_Data!$C$12:$C$61,MATCH(B8,Cleaned_Data!$A$12:$A$61,0))</f>
        <v>Returning</v>
      </c>
      <c r="E8" s="11" t="str">
        <f>INDEX(Cleaned_Data!$D$12:$D$61,MATCH(B8,Cleaned_Data!$A$12:$A$61,0))</f>
        <v>South</v>
      </c>
      <c r="F8" s="11" t="str">
        <f>INDEX(Cleaned_Data!$E$12:$E$61,MATCH(B8,Cleaned_Data!$A$12:$A$61,0))</f>
        <v>Combo</v>
      </c>
      <c r="H8" s="1">
        <f>RANK(Cleaned_Data!G16,Cleaned_Data!$G$12:$G$61)+COUNTIF(Cleaned_Data!$G$12:G15,Cleaned_Data!G16)</f>
        <v>34.0</v>
      </c>
      <c r="I8" s="1" t="str">
        <f>Cleaned_Data!A16</f>
        <v>FD10004</v>
      </c>
    </row>
    <row r="9" spans="8:8" ht="15.0" customHeight="1">
      <c r="A9" s="11">
        <v>5.0</v>
      </c>
      <c r="B9" s="11" t="str">
        <f>INDEX($I$4:$I$53,MATCH(5,$H$4:$H$53,0))</f>
        <v>FD10028</v>
      </c>
      <c r="C9" s="12">
        <f>INDEX(Cleaned_Data!$G$12:$G$61,MATCH(B9,Cleaned_Data!$A$12:$A$61,0))</f>
        <v>1750.0</v>
      </c>
      <c r="D9" s="11" t="str">
        <f>INDEX(Cleaned_Data!$C$12:$C$61,MATCH(B9,Cleaned_Data!$A$12:$A$61,0))</f>
        <v>New</v>
      </c>
      <c r="E9" s="11" t="str">
        <f>INDEX(Cleaned_Data!$D$12:$D$61,MATCH(B9,Cleaned_Data!$A$12:$A$61,0))</f>
        <v>East</v>
      </c>
      <c r="F9" s="11" t="str">
        <f>INDEX(Cleaned_Data!$E$12:$E$61,MATCH(B9,Cleaned_Data!$A$12:$A$61,0))</f>
        <v>Regular</v>
      </c>
      <c r="H9" s="1">
        <f>RANK(Cleaned_Data!G17,Cleaned_Data!$G$12:$G$61)+COUNTIF(Cleaned_Data!$G$12:G16,Cleaned_Data!G17)</f>
        <v>27.0</v>
      </c>
      <c r="I9" s="1" t="str">
        <f>Cleaned_Data!A17</f>
        <v>FD10005</v>
      </c>
    </row>
    <row r="10" spans="8:8" ht="15.0" customHeight="1">
      <c r="H10" s="1">
        <f>RANK(Cleaned_Data!G18,Cleaned_Data!$G$12:$G$61)+COUNTIF(Cleaned_Data!$G$12:G17,Cleaned_Data!G18)</f>
        <v>28.0</v>
      </c>
      <c r="I10" s="1" t="str">
        <f>Cleaned_Data!A18</f>
        <v>FD10006</v>
      </c>
    </row>
    <row r="11" spans="8:8" ht="15.0" customHeight="1">
      <c r="H11" s="1">
        <f>RANK(Cleaned_Data!G19,Cleaned_Data!$G$12:$G$61)+COUNTIF(Cleaned_Data!$G$12:G18,Cleaned_Data!G19)</f>
        <v>32.0</v>
      </c>
      <c r="I11" s="1" t="str">
        <f>Cleaned_Data!A19</f>
        <v>FD10007</v>
      </c>
    </row>
    <row r="12" spans="8:8" ht="15.0" customHeight="1">
      <c r="H12" s="1">
        <f>RANK(Cleaned_Data!G20,Cleaned_Data!$G$12:$G$61)+COUNTIF(Cleaned_Data!$G$12:G19,Cleaned_Data!G20)</f>
        <v>10.0</v>
      </c>
      <c r="I12" s="1" t="str">
        <f>Cleaned_Data!A20</f>
        <v>FD10008</v>
      </c>
    </row>
    <row r="13" spans="8:8" ht="15.0" customHeight="1">
      <c r="H13" s="1">
        <f>RANK(Cleaned_Data!G21,Cleaned_Data!$G$12:$G$61)+COUNTIF(Cleaned_Data!$G$12:G20,Cleaned_Data!G21)</f>
        <v>21.0</v>
      </c>
      <c r="I13" s="1" t="str">
        <f>Cleaned_Data!A21</f>
        <v>FD10009</v>
      </c>
    </row>
    <row r="14" spans="8:8" ht="15.0" customHeight="1">
      <c r="H14" s="1">
        <f>RANK(Cleaned_Data!G22,Cleaned_Data!$G$12:$G$61)+COUNTIF(Cleaned_Data!$G$12:G21,Cleaned_Data!G22)</f>
        <v>20.0</v>
      </c>
      <c r="I14" s="1" t="str">
        <f>Cleaned_Data!A22</f>
        <v>FD10010</v>
      </c>
    </row>
    <row r="15" spans="8:8" ht="15.0" customHeight="1">
      <c r="H15" s="1">
        <f>RANK(Cleaned_Data!G23,Cleaned_Data!$G$12:$G$61)+COUNTIF(Cleaned_Data!$G$12:G22,Cleaned_Data!G23)</f>
        <v>7.0</v>
      </c>
      <c r="I15" s="1" t="str">
        <f>Cleaned_Data!A23</f>
        <v>FD10011</v>
      </c>
    </row>
    <row r="16" spans="8:8" ht="15.0" customHeight="1">
      <c r="H16" s="1">
        <f>RANK(Cleaned_Data!G24,Cleaned_Data!$G$12:$G$61)+COUNTIF(Cleaned_Data!$G$12:G23,Cleaned_Data!G24)</f>
        <v>1.0</v>
      </c>
      <c r="I16" s="1" t="str">
        <f>Cleaned_Data!A24</f>
        <v>FD10012</v>
      </c>
    </row>
    <row r="17" spans="8:8" ht="15.0" customHeight="1">
      <c r="H17" s="1">
        <f>RANK(Cleaned_Data!G25,Cleaned_Data!$G$12:$G$61)+COUNTIF(Cleaned_Data!$G$12:G24,Cleaned_Data!G25)</f>
        <v>4.0</v>
      </c>
      <c r="I17" s="1" t="str">
        <f>Cleaned_Data!A25</f>
        <v>FD10013</v>
      </c>
    </row>
    <row r="18" spans="8:8" ht="15.0" customHeight="1">
      <c r="H18" s="1">
        <f>RANK(Cleaned_Data!G26,Cleaned_Data!$G$12:$G$61)+COUNTIF(Cleaned_Data!$G$12:G25,Cleaned_Data!G26)</f>
        <v>11.0</v>
      </c>
      <c r="I18" s="1" t="str">
        <f>Cleaned_Data!A26</f>
        <v>FD10014</v>
      </c>
    </row>
    <row r="19" spans="8:8" ht="15.0" customHeight="1">
      <c r="H19" s="1">
        <f>RANK(Cleaned_Data!G27,Cleaned_Data!$G$12:$G$61)+COUNTIF(Cleaned_Data!$G$12:G26,Cleaned_Data!G27)</f>
        <v>42.0</v>
      </c>
      <c r="I19" s="1" t="str">
        <f>Cleaned_Data!A27</f>
        <v>FD10015</v>
      </c>
    </row>
    <row r="20" spans="8:8" ht="15.0" customHeight="1">
      <c r="H20" s="1">
        <f>RANK(Cleaned_Data!G28,Cleaned_Data!$G$12:$G$61)+COUNTIF(Cleaned_Data!$G$12:G27,Cleaned_Data!G28)</f>
        <v>23.0</v>
      </c>
      <c r="I20" s="1" t="str">
        <f>Cleaned_Data!A28</f>
        <v>FD10016</v>
      </c>
    </row>
    <row r="21" spans="8:8" ht="15.0" customHeight="1">
      <c r="H21" s="1">
        <f>RANK(Cleaned_Data!G29,Cleaned_Data!$G$12:$G$61)+COUNTIF(Cleaned_Data!$G$12:G28,Cleaned_Data!G29)</f>
        <v>14.0</v>
      </c>
      <c r="I21" s="1" t="str">
        <f>Cleaned_Data!A29</f>
        <v>FD10017</v>
      </c>
    </row>
    <row r="22" spans="8:8" ht="15.0" customHeight="1">
      <c r="H22" s="1">
        <f>RANK(Cleaned_Data!G30,Cleaned_Data!$G$12:$G$61)+COUNTIF(Cleaned_Data!$G$12:G29,Cleaned_Data!G30)</f>
        <v>12.0</v>
      </c>
      <c r="I22" s="1" t="str">
        <f>Cleaned_Data!A30</f>
        <v>FD10018</v>
      </c>
    </row>
    <row r="23" spans="8:8" ht="15.0" customHeight="1">
      <c r="H23" s="1">
        <f>RANK(Cleaned_Data!G31,Cleaned_Data!$G$12:$G$61)+COUNTIF(Cleaned_Data!$G$12:G30,Cleaned_Data!G31)</f>
        <v>44.0</v>
      </c>
      <c r="I23" s="1" t="str">
        <f>Cleaned_Data!A31</f>
        <v>FD10019</v>
      </c>
    </row>
    <row r="24" spans="8:8" ht="15.0" customHeight="1">
      <c r="H24" s="1">
        <f>RANK(Cleaned_Data!G32,Cleaned_Data!$G$12:$G$61)+COUNTIF(Cleaned_Data!$G$12:G31,Cleaned_Data!G32)</f>
        <v>35.0</v>
      </c>
      <c r="I24" s="1" t="str">
        <f>Cleaned_Data!A32</f>
        <v>FD10020</v>
      </c>
    </row>
    <row r="25" spans="8:8" ht="15.0" customHeight="1">
      <c r="H25" s="1">
        <f>RANK(Cleaned_Data!G33,Cleaned_Data!$G$12:$G$61)+COUNTIF(Cleaned_Data!$G$12:G32,Cleaned_Data!G33)</f>
        <v>17.0</v>
      </c>
      <c r="I25" s="1" t="str">
        <f>Cleaned_Data!A33</f>
        <v>FD10021</v>
      </c>
    </row>
    <row r="26" spans="8:8" ht="15.0" customHeight="1">
      <c r="H26" s="1">
        <f>RANK(Cleaned_Data!G34,Cleaned_Data!$G$12:$G$61)+COUNTIF(Cleaned_Data!$G$12:G33,Cleaned_Data!G34)</f>
        <v>24.0</v>
      </c>
      <c r="I26" s="1" t="str">
        <f>Cleaned_Data!A34</f>
        <v>FD10022</v>
      </c>
    </row>
    <row r="27" spans="8:8" ht="15.0" customHeight="1">
      <c r="H27" s="1">
        <f>RANK(Cleaned_Data!G35,Cleaned_Data!$G$12:$G$61)+COUNTIF(Cleaned_Data!$G$12:G34,Cleaned_Data!G35)</f>
        <v>25.0</v>
      </c>
      <c r="I27" s="1" t="str">
        <f>Cleaned_Data!A35</f>
        <v>FD10023</v>
      </c>
    </row>
    <row r="28" spans="8:8" ht="15.0" customHeight="1">
      <c r="H28" s="1">
        <f>RANK(Cleaned_Data!G36,Cleaned_Data!$G$12:$G$61)+COUNTIF(Cleaned_Data!$G$12:G35,Cleaned_Data!G36)</f>
        <v>46.0</v>
      </c>
      <c r="I28" s="1" t="str">
        <f>Cleaned_Data!A36</f>
        <v>FD10024</v>
      </c>
    </row>
    <row r="29" spans="8:8" ht="15.0" customHeight="1">
      <c r="H29" s="1">
        <f>RANK(Cleaned_Data!G37,Cleaned_Data!$G$12:$G$61)+COUNTIF(Cleaned_Data!$G$12:G36,Cleaned_Data!G37)</f>
        <v>29.0</v>
      </c>
      <c r="I29" s="1" t="str">
        <f>Cleaned_Data!A37</f>
        <v>FD10025</v>
      </c>
    </row>
    <row r="30" spans="8:8" ht="15.0" customHeight="1">
      <c r="H30" s="1">
        <f>RANK(Cleaned_Data!G38,Cleaned_Data!$G$12:$G$61)+COUNTIF(Cleaned_Data!$G$12:G37,Cleaned_Data!G38)</f>
        <v>8.0</v>
      </c>
      <c r="I30" s="1" t="str">
        <f>Cleaned_Data!A38</f>
        <v>FD10026</v>
      </c>
    </row>
    <row r="31" spans="8:8" ht="15.0" customHeight="1">
      <c r="H31" s="1">
        <f>RANK(Cleaned_Data!G39,Cleaned_Data!$G$12:$G$61)+COUNTIF(Cleaned_Data!$G$12:G38,Cleaned_Data!G39)</f>
        <v>30.0</v>
      </c>
      <c r="I31" s="1" t="str">
        <f>Cleaned_Data!A39</f>
        <v>FD10027</v>
      </c>
    </row>
    <row r="32" spans="8:8" ht="15.0" customHeight="1">
      <c r="H32" s="1">
        <f>RANK(Cleaned_Data!G40,Cleaned_Data!$G$12:$G$61)+COUNTIF(Cleaned_Data!$G$12:G39,Cleaned_Data!G40)</f>
        <v>5.0</v>
      </c>
      <c r="I32" s="1" t="str">
        <f>Cleaned_Data!A40</f>
        <v>FD10028</v>
      </c>
    </row>
    <row r="33" spans="8:8" ht="15.0" customHeight="1">
      <c r="H33" s="1">
        <f>RANK(Cleaned_Data!G41,Cleaned_Data!$G$12:$G$61)+COUNTIF(Cleaned_Data!$G$12:G40,Cleaned_Data!G41)</f>
        <v>19.0</v>
      </c>
      <c r="I33" s="1" t="str">
        <f>Cleaned_Data!A41</f>
        <v>FD10029</v>
      </c>
    </row>
    <row r="34" spans="8:8" ht="15.0" customHeight="1">
      <c r="H34" s="1">
        <f>RANK(Cleaned_Data!G42,Cleaned_Data!$G$12:$G$61)+COUNTIF(Cleaned_Data!$G$12:G41,Cleaned_Data!G42)</f>
        <v>6.0</v>
      </c>
      <c r="I34" s="1" t="str">
        <f>Cleaned_Data!A42</f>
        <v>FD10030</v>
      </c>
    </row>
    <row r="35" spans="8:8" ht="15.0" customHeight="1">
      <c r="H35" s="1">
        <f>RANK(Cleaned_Data!G43,Cleaned_Data!$G$12:$G$61)+COUNTIF(Cleaned_Data!$G$12:G42,Cleaned_Data!G43)</f>
        <v>9.0</v>
      </c>
      <c r="I35" s="1" t="str">
        <f>Cleaned_Data!A43</f>
        <v>FD10031</v>
      </c>
    </row>
    <row r="36" spans="8:8" ht="15.0" customHeight="1">
      <c r="H36" s="1">
        <f>RANK(Cleaned_Data!G44,Cleaned_Data!$G$12:$G$61)+COUNTIF(Cleaned_Data!$G$12:G43,Cleaned_Data!G44)</f>
        <v>15.0</v>
      </c>
      <c r="I36" s="1" t="str">
        <f>Cleaned_Data!A44</f>
        <v>FD10032</v>
      </c>
    </row>
    <row r="37" spans="8:8" ht="15.0" customHeight="1">
      <c r="H37" s="1">
        <f>RANK(Cleaned_Data!G45,Cleaned_Data!$G$12:$G$61)+COUNTIF(Cleaned_Data!$G$12:G44,Cleaned_Data!G45)</f>
        <v>43.0</v>
      </c>
      <c r="I37" s="1" t="str">
        <f>Cleaned_Data!A45</f>
        <v>FD10033</v>
      </c>
    </row>
    <row r="38" spans="8:8" ht="15.0" customHeight="1">
      <c r="H38" s="1">
        <f>RANK(Cleaned_Data!G46,Cleaned_Data!$G$12:$G$61)+COUNTIF(Cleaned_Data!$G$12:G45,Cleaned_Data!G46)</f>
        <v>50.0</v>
      </c>
      <c r="I38" s="1" t="str">
        <f>Cleaned_Data!A46</f>
        <v>FD10034</v>
      </c>
    </row>
    <row r="39" spans="8:8" ht="15.0" customHeight="1">
      <c r="H39" s="1">
        <f>RANK(Cleaned_Data!G47,Cleaned_Data!$G$12:$G$61)+COUNTIF(Cleaned_Data!$G$12:G46,Cleaned_Data!G47)</f>
        <v>13.0</v>
      </c>
      <c r="I39" s="1" t="str">
        <f>Cleaned_Data!A47</f>
        <v>FD10035</v>
      </c>
    </row>
    <row r="40" spans="8:8" ht="15.0" customHeight="1">
      <c r="H40" s="1">
        <f>RANK(Cleaned_Data!G48,Cleaned_Data!$G$12:$G$61)+COUNTIF(Cleaned_Data!$G$12:G47,Cleaned_Data!G48)</f>
        <v>36.0</v>
      </c>
      <c r="I40" s="1" t="str">
        <f>Cleaned_Data!A48</f>
        <v>FD10036</v>
      </c>
    </row>
    <row r="41" spans="8:8" ht="15.0" customHeight="1">
      <c r="H41" s="1">
        <f>RANK(Cleaned_Data!G49,Cleaned_Data!$G$12:$G$61)+COUNTIF(Cleaned_Data!$G$12:G48,Cleaned_Data!G49)</f>
        <v>37.0</v>
      </c>
      <c r="I41" s="1" t="str">
        <f>Cleaned_Data!A49</f>
        <v>FD10037</v>
      </c>
    </row>
    <row r="42" spans="8:8" ht="15.0" customHeight="1">
      <c r="H42" s="1">
        <f>RANK(Cleaned_Data!G50,Cleaned_Data!$G$12:$G$61)+COUNTIF(Cleaned_Data!$G$12:G49,Cleaned_Data!G50)</f>
        <v>18.0</v>
      </c>
      <c r="I42" s="1" t="str">
        <f>Cleaned_Data!A50</f>
        <v>FD10038</v>
      </c>
    </row>
    <row r="43" spans="8:8" ht="15.0" customHeight="1">
      <c r="H43" s="1">
        <f>RANK(Cleaned_Data!G51,Cleaned_Data!$G$12:$G$61)+COUNTIF(Cleaned_Data!$G$12:G50,Cleaned_Data!G51)</f>
        <v>40.0</v>
      </c>
      <c r="I43" s="1" t="str">
        <f>Cleaned_Data!A51</f>
        <v>FD10039</v>
      </c>
    </row>
    <row r="44" spans="8:8" ht="15.0" customHeight="1">
      <c r="H44" s="1">
        <f>RANK(Cleaned_Data!G52,Cleaned_Data!$G$12:$G$61)+COUNTIF(Cleaned_Data!$G$12:G51,Cleaned_Data!G52)</f>
        <v>41.0</v>
      </c>
      <c r="I44" s="1" t="str">
        <f>Cleaned_Data!A52</f>
        <v>FD10040</v>
      </c>
    </row>
    <row r="45" spans="8:8" ht="15.0" customHeight="1">
      <c r="H45" s="1">
        <f>RANK(Cleaned_Data!G53,Cleaned_Data!$G$12:$G$61)+COUNTIF(Cleaned_Data!$G$12:G52,Cleaned_Data!G53)</f>
        <v>38.0</v>
      </c>
      <c r="I45" s="1" t="str">
        <f>Cleaned_Data!A53</f>
        <v>FD10041</v>
      </c>
    </row>
    <row r="46" spans="8:8" ht="15.0" customHeight="1">
      <c r="H46" s="1">
        <f>RANK(Cleaned_Data!G54,Cleaned_Data!$G$12:$G$61)+COUNTIF(Cleaned_Data!$G$12:G53,Cleaned_Data!G54)</f>
        <v>2.0</v>
      </c>
      <c r="I46" s="1" t="str">
        <f>Cleaned_Data!A54</f>
        <v>FD10042</v>
      </c>
    </row>
    <row r="47" spans="8:8" ht="15.0" customHeight="1">
      <c r="H47" s="1">
        <f>RANK(Cleaned_Data!G55,Cleaned_Data!$G$12:$G$61)+COUNTIF(Cleaned_Data!$G$12:G54,Cleaned_Data!G55)</f>
        <v>3.0</v>
      </c>
      <c r="I47" s="1" t="str">
        <f>Cleaned_Data!A55</f>
        <v>FD10043</v>
      </c>
    </row>
    <row r="48" spans="8:8" ht="15.0" customHeight="1">
      <c r="H48" s="1">
        <f>RANK(Cleaned_Data!G56,Cleaned_Data!$G$12:$G$61)+COUNTIF(Cleaned_Data!$G$12:G55,Cleaned_Data!G56)</f>
        <v>26.0</v>
      </c>
      <c r="I48" s="1" t="str">
        <f>Cleaned_Data!A56</f>
        <v>FD10044</v>
      </c>
    </row>
    <row r="49" spans="8:8" ht="15.0" customHeight="1">
      <c r="H49" s="1">
        <f>RANK(Cleaned_Data!G57,Cleaned_Data!$G$12:$G$61)+COUNTIF(Cleaned_Data!$G$12:G56,Cleaned_Data!G57)</f>
        <v>16.0</v>
      </c>
      <c r="I49" s="1" t="str">
        <f>Cleaned_Data!A57</f>
        <v>FD10045</v>
      </c>
    </row>
    <row r="50" spans="8:8" ht="15.0" customHeight="1">
      <c r="H50" s="1">
        <f>RANK(Cleaned_Data!G58,Cleaned_Data!$G$12:$G$61)+COUNTIF(Cleaned_Data!$G$12:G57,Cleaned_Data!G58)</f>
        <v>39.0</v>
      </c>
      <c r="I50" s="1" t="str">
        <f>Cleaned_Data!A58</f>
        <v>FD10046</v>
      </c>
    </row>
    <row r="51" spans="8:8" ht="15.0" customHeight="1">
      <c r="H51" s="1">
        <f>RANK(Cleaned_Data!G59,Cleaned_Data!$G$12:$G$61)+COUNTIF(Cleaned_Data!$G$12:G58,Cleaned_Data!G59)</f>
        <v>22.0</v>
      </c>
      <c r="I51" s="1" t="str">
        <f>Cleaned_Data!A59</f>
        <v>FD10047</v>
      </c>
    </row>
    <row r="52" spans="8:8" ht="15.0" customHeight="1">
      <c r="H52" s="1">
        <f>RANK(Cleaned_Data!G60,Cleaned_Data!$G$12:$G$61)+COUNTIF(Cleaned_Data!$G$12:G59,Cleaned_Data!G60)</f>
        <v>31.0</v>
      </c>
      <c r="I52" s="1" t="str">
        <f>Cleaned_Data!A60</f>
        <v>FD10048</v>
      </c>
    </row>
    <row r="53" spans="8:8" ht="15.0" customHeight="1">
      <c r="H53" s="1">
        <f>RANK(Cleaned_Data!G61,Cleaned_Data!$G$12:$G$61)+COUNTIF(Cleaned_Data!$G$12:G60,Cleaned_Data!G61)</f>
        <v>47.0</v>
      </c>
      <c r="I53" s="1" t="str">
        <f>Cleaned_Data!A61</f>
        <v>FD10049</v>
      </c>
    </row>
  </sheetData>
  <mergeCells count="2">
    <mergeCell ref="A1:F1"/>
    <mergeCell ref="A2:F2"/>
  </mergeCells>
  <pageMargins left="0.75" right="0.75" top="1.0" bottom="1.0" header="0.511811023622047" footer="0.511811023622047"/>
</worksheet>
</file>

<file path=xl/worksheets/sheet8.xml><?xml version="1.0" encoding="utf-8"?>
<worksheet xmlns:r="http://schemas.openxmlformats.org/officeDocument/2006/relationships" xmlns="http://schemas.openxmlformats.org/spreadsheetml/2006/main">
  <dimension ref="A1:I30"/>
  <sheetViews>
    <sheetView workbookViewId="0">
      <selection activeCell="A1" sqref="A1:B1"/>
    </sheetView>
  </sheetViews>
  <sheetFormatPr defaultRowHeight="15.0" defaultColWidth="10" zeroHeight="1"/>
  <cols>
    <col min="1" max="1" customWidth="1" width="70.0" style="0"/>
    <col min="2" max="2" customWidth="1" width="12.0" style="0"/>
  </cols>
  <sheetData>
    <row r="1" spans="8:8" ht="24.0" customHeight="1">
      <c r="A1" s="2" t="s">
        <v>151</v>
      </c>
      <c r="B1" s="2"/>
    </row>
    <row r="3" spans="8:8" ht="15.0">
      <c r="A3" s="22" t="s">
        <v>152</v>
      </c>
      <c r="B3" s="22"/>
    </row>
    <row r="4" spans="8:8" ht="15.0">
      <c r="A4" s="23" t="s">
        <v>153</v>
      </c>
      <c r="B4" s="23"/>
    </row>
    <row r="5" spans="8:8" ht="42.0" customHeight="1">
      <c r="A5" s="24" t="s">
        <v>154</v>
      </c>
      <c r="B5" s="24"/>
    </row>
    <row r="7" spans="8:8" ht="15.0">
      <c r="A7" s="23" t="s">
        <v>155</v>
      </c>
      <c r="B7" s="23"/>
    </row>
    <row r="8" spans="8:8" ht="42.0" customHeight="1">
      <c r="A8" s="24" t="s">
        <v>156</v>
      </c>
      <c r="B8" s="24"/>
    </row>
    <row r="10" spans="8:8" ht="15.0">
      <c r="A10" s="23" t="s">
        <v>157</v>
      </c>
      <c r="B10" s="23"/>
    </row>
    <row r="11" spans="8:8" ht="42.0" customHeight="1">
      <c r="A11" s="24" t="s">
        <v>158</v>
      </c>
      <c r="B11" s="24"/>
    </row>
    <row r="13" spans="8:8" ht="15.0">
      <c r="A13" s="23" t="s">
        <v>159</v>
      </c>
      <c r="B13" s="23"/>
    </row>
    <row r="14" spans="8:8" ht="42.0" customHeight="1">
      <c r="A14" s="24" t="s">
        <v>160</v>
      </c>
      <c r="B14" s="24"/>
    </row>
    <row r="16" spans="8:8" ht="15.0">
      <c r="A16" s="23" t="s">
        <v>161</v>
      </c>
      <c r="B16" s="23"/>
    </row>
    <row r="17" spans="8:8" ht="42.0" customHeight="1">
      <c r="A17" s="24" t="s">
        <v>162</v>
      </c>
      <c r="B17" s="24"/>
    </row>
    <row r="19" spans="8:8" ht="15.0">
      <c r="A19" s="22" t="s">
        <v>163</v>
      </c>
      <c r="B19" s="22"/>
    </row>
    <row r="20" spans="8:8" ht="15.0">
      <c r="A20" s="23" t="s">
        <v>164</v>
      </c>
      <c r="B20" s="23"/>
    </row>
    <row r="21" spans="8:8" ht="48.0" customHeight="1">
      <c r="A21" s="24" t="s">
        <v>165</v>
      </c>
      <c r="B21" s="24"/>
    </row>
    <row r="23" spans="8:8" ht="15.0">
      <c r="A23" s="23" t="s">
        <v>166</v>
      </c>
      <c r="B23" s="23"/>
    </row>
    <row r="24" spans="8:8" ht="48.0" customHeight="1">
      <c r="A24" s="24" t="s">
        <v>167</v>
      </c>
      <c r="B24" s="24"/>
    </row>
    <row r="26" spans="8:8" ht="15.0">
      <c r="A26" s="23" t="s">
        <v>168</v>
      </c>
      <c r="B26" s="23"/>
    </row>
    <row r="27" spans="8:8" ht="48.0" customHeight="1">
      <c r="A27" s="24" t="s">
        <v>169</v>
      </c>
      <c r="B27" s="24"/>
    </row>
    <row r="29" spans="8:8" ht="15.0">
      <c r="A29" s="23" t="s">
        <v>170</v>
      </c>
      <c r="B29" s="23"/>
    </row>
    <row r="30" spans="8:8" ht="48.0" customHeight="1">
      <c r="A30" s="24" t="s">
        <v>171</v>
      </c>
      <c r="B30" s="24"/>
    </row>
  </sheetData>
  <mergeCells count="21">
    <mergeCell ref="A1:B1"/>
    <mergeCell ref="A24:B24"/>
    <mergeCell ref="A8:B8"/>
    <mergeCell ref="A5:B5"/>
    <mergeCell ref="A3:B3"/>
    <mergeCell ref="A17:B17"/>
    <mergeCell ref="A16:B16"/>
    <mergeCell ref="A27:B27"/>
    <mergeCell ref="A29:B29"/>
    <mergeCell ref="A30:B30"/>
    <mergeCell ref="A26:B26"/>
    <mergeCell ref="A7:B7"/>
    <mergeCell ref="A14:B14"/>
    <mergeCell ref="A20:B20"/>
    <mergeCell ref="A19:B19"/>
    <mergeCell ref="A11:B11"/>
    <mergeCell ref="A4:B4"/>
    <mergeCell ref="A23:B23"/>
    <mergeCell ref="A21:B21"/>
    <mergeCell ref="A13:B13"/>
    <mergeCell ref="A10:B10"/>
  </mergeCells>
  <pageMargins left="0.75" right="0.75" top="1.0" bottom="1.0" header="0.511811023622047" footer="0.511811023622047"/>
</worksheet>
</file>

<file path=xl/worksheets/sheet9.xml><?xml version="1.0" encoding="utf-8"?>
<worksheet xmlns:r="http://schemas.openxmlformats.org/officeDocument/2006/relationships" xmlns="http://schemas.openxmlformats.org/spreadsheetml/2006/main">
  <dimension ref="A1:C1"/>
  <sheetViews>
    <sheetView tabSelected="1" workbookViewId="0" topLeftCell="BY14" zoomScale="30">
      <selection activeCell="J67" sqref="J67"/>
    </sheetView>
  </sheetViews>
  <sheetFormatPr defaultRowHeight="16.25" defaultColWidth="10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2026-09-15T03:40:39Z</dcterms:created>
  <dcterms:modified xsi:type="dcterms:W3CDTF">2026-10-29T06:33:36Z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e1c1182a43a4483d82a72b18fe1fc0d0_23</vt:lpwstr>
  </property>
</Properties>
</file>